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5600" windowHeight="15500" tabRatio="600" firstSheet="0" activeTab="1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tatistik" sheetId="2" state="visible" r:id="rId2"/>
    <sheet xmlns:r="http://schemas.openxmlformats.org/officeDocument/2006/relationships" name="KODA-Bot" sheetId="3" state="visible" r:id="rId3"/>
  </sheets>
  <definedNames>
    <definedName name="_xlnm._FilterDatabase" localSheetId="0" hidden="1">'Trades'!$A$1:$AA$61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[h]:mm"/>
    <numFmt numFmtId="165" formatCode="[hh]:mm:ss"/>
    <numFmt numFmtId="166" formatCode="#.##000"/>
    <numFmt numFmtId="167" formatCode="#,000&quot;%&quot;;[Red]\-#,000&quot;%&quot;"/>
    <numFmt numFmtId="168" formatCode="#.##000;[Red]\-#.##000"/>
    <numFmt numFmtId="169" formatCode="0%;[Red]\-0%"/>
    <numFmt numFmtId="170" formatCode="#.##;[Red]\-#.##"/>
    <numFmt numFmtId="171" formatCode="#.00"/>
    <numFmt numFmtId="172" formatCode="#,#00.0%;[Red]\-#,#00.0%"/>
    <numFmt numFmtId="173" formatCode="[$-F400]h:mm:ss\ AM/PM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9"/>
    </font>
    <font>
      <name val="Calibri"/>
      <family val="2"/>
      <sz val="9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0"/>
    </font>
    <font>
      <name val="Segoe UI"/>
      <b val="1"/>
      <color rgb="0000C8FF"/>
      <sz val="10"/>
    </font>
  </fonts>
  <fills count="23">
    <fill>
      <patternFill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1565C0"/>
      </patternFill>
    </fill>
    <fill>
      <patternFill patternType="solid">
        <fgColor rgb="FF0277BD"/>
      </patternFill>
    </fill>
    <fill>
      <patternFill patternType="solid">
        <fgColor rgb="FF00695C"/>
      </patternFill>
    </fill>
    <fill>
      <patternFill patternType="solid">
        <fgColor rgb="FF4527A0"/>
      </patternFill>
    </fill>
    <fill>
      <patternFill patternType="solid">
        <fgColor rgb="FFBF360C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4A148C"/>
      </patternFill>
    </fill>
    <fill>
      <patternFill patternType="solid">
        <fgColor rgb="FF6A1B9A"/>
      </patternFill>
    </fill>
    <fill>
      <patternFill patternType="solid">
        <fgColor rgb="FFFAF5FF"/>
      </patternFill>
    </fill>
    <fill>
      <patternFill patternType="solid">
        <fgColor rgb="FFE3F2FD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1976D2"/>
      </patternFill>
    </fill>
    <fill>
      <patternFill patternType="solid">
        <fgColor rgb="FFA5D6A7"/>
      </patternFill>
    </fill>
    <fill>
      <patternFill patternType="solid">
        <fgColor rgb="FFC8E6C9"/>
      </patternFill>
    </fill>
    <fill>
      <patternFill patternType="solid">
        <fgColor rgb="000D1B2E"/>
        <bgColor rgb="000D1B2E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bottom style="thin">
        <color rgb="001E3A5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4" fontId="2" fillId="9" borderId="1" applyAlignment="1" pivotButton="0" quotePrefix="0" xfId="0">
      <alignment vertical="center"/>
    </xf>
    <xf numFmtId="164" fontId="2" fillId="9" borderId="1" applyAlignment="1" pivotButton="0" quotePrefix="0" xfId="0">
      <alignment vertical="center"/>
    </xf>
    <xf numFmtId="164" fontId="2" fillId="10" borderId="1" applyAlignment="1" pivotButton="0" quotePrefix="0" xfId="0">
      <alignment vertical="center"/>
    </xf>
    <xf numFmtId="164" fontId="0" fillId="0" borderId="0" pivotButton="0" quotePrefix="0" xfId="0"/>
    <xf numFmtId="14" fontId="2" fillId="10" borderId="1" applyAlignment="1" pivotButton="0" quotePrefix="0" xfId="0">
      <alignment vertical="center"/>
    </xf>
    <xf numFmtId="0" fontId="6" fillId="1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right" vertical="center"/>
    </xf>
    <xf numFmtId="0" fontId="7" fillId="15" borderId="2" pivotButton="0" quotePrefix="0" xfId="0"/>
    <xf numFmtId="0" fontId="7" fillId="16" borderId="2" applyAlignment="1" pivotButton="0" quotePrefix="0" xfId="0">
      <alignment horizontal="center" vertical="center"/>
    </xf>
    <xf numFmtId="4" fontId="8" fillId="0" borderId="2" applyAlignment="1" pivotButton="0" quotePrefix="0" xfId="0">
      <alignment horizontal="right" vertical="center"/>
    </xf>
    <xf numFmtId="4" fontId="0" fillId="17" borderId="2" applyAlignment="1" applyProtection="1" pivotButton="0" quotePrefix="0" xfId="0">
      <alignment horizontal="left" vertical="center"/>
      <protection locked="0" hidden="0"/>
    </xf>
    <xf numFmtId="0" fontId="0" fillId="17" borderId="2" applyAlignment="1" applyProtection="1" pivotButton="0" quotePrefix="0" xfId="0">
      <alignment horizontal="left" vertical="center"/>
      <protection locked="0" hidden="0"/>
    </xf>
    <xf numFmtId="0" fontId="7" fillId="18" borderId="2" pivotButton="0" quotePrefix="0" xfId="0"/>
    <xf numFmtId="4" fontId="8" fillId="18" borderId="2" applyAlignment="1" pivotButton="0" quotePrefix="0" xfId="0">
      <alignment horizontal="right" vertical="center"/>
    </xf>
    <xf numFmtId="0" fontId="10" fillId="16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14" fontId="0" fillId="17" borderId="2" applyAlignment="1" applyProtection="1" pivotButton="0" quotePrefix="0" xfId="0">
      <alignment horizontal="left" vertical="center"/>
      <protection locked="0" hidden="0"/>
    </xf>
    <xf numFmtId="16" fontId="0" fillId="17" borderId="2" applyAlignment="1" applyProtection="1" pivotButton="0" quotePrefix="0" xfId="0">
      <alignment horizontal="left" vertical="center"/>
      <protection locked="0" hidden="0"/>
    </xf>
    <xf numFmtId="0" fontId="12" fillId="21" borderId="2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6" fillId="19" borderId="2" applyAlignment="1" pivotButton="0" quotePrefix="0" xfId="0">
      <alignment vertical="center"/>
    </xf>
    <xf numFmtId="166" fontId="0" fillId="0" borderId="0" pivotButton="0" quotePrefix="0" xfId="0"/>
    <xf numFmtId="166" fontId="8" fillId="0" borderId="2" applyAlignment="1" pivotButton="0" quotePrefix="0" xfId="0">
      <alignment horizontal="right" vertical="center"/>
    </xf>
    <xf numFmtId="166" fontId="0" fillId="17" borderId="2" applyAlignment="1" applyProtection="1" pivotButton="0" quotePrefix="0" xfId="0">
      <alignment horizontal="left" vertical="center"/>
      <protection locked="0" hidden="0"/>
    </xf>
    <xf numFmtId="166" fontId="8" fillId="18" borderId="2" applyAlignment="1" pivotButton="0" quotePrefix="0" xfId="0">
      <alignment horizontal="right" vertical="center"/>
    </xf>
    <xf numFmtId="167" fontId="2" fillId="9" borderId="1" applyAlignment="1" pivotButton="0" quotePrefix="0" xfId="0">
      <alignment vertical="center"/>
    </xf>
    <xf numFmtId="168" fontId="2" fillId="9" borderId="1" applyAlignment="1" pivotButton="0" quotePrefix="0" xfId="0">
      <alignment vertical="center"/>
    </xf>
    <xf numFmtId="167" fontId="2" fillId="10" borderId="1" applyAlignment="1" pivotButton="0" quotePrefix="0" xfId="0">
      <alignment vertical="center"/>
    </xf>
    <xf numFmtId="168" fontId="2" fillId="10" borderId="1" applyAlignment="1" pivotButton="0" quotePrefix="0" xfId="0">
      <alignment vertical="center"/>
    </xf>
    <xf numFmtId="167" fontId="0" fillId="0" borderId="0" pivotButton="0" quotePrefix="0" xfId="0"/>
    <xf numFmtId="168" fontId="0" fillId="0" borderId="0" pivotButton="0" quotePrefix="0" xfId="0"/>
    <xf numFmtId="169" fontId="8" fillId="0" borderId="2" applyAlignment="1" pivotButton="0" quotePrefix="0" xfId="0">
      <alignment horizontal="right" vertical="center"/>
    </xf>
    <xf numFmtId="1" fontId="8" fillId="18" borderId="2" applyAlignment="1" pivotButton="0" quotePrefix="0" xfId="0">
      <alignment horizontal="right" vertical="center"/>
    </xf>
    <xf numFmtId="1" fontId="0" fillId="17" borderId="2" applyAlignment="1" applyProtection="1" pivotButton="0" quotePrefix="0" xfId="0">
      <alignment horizontal="right" vertical="center"/>
      <protection locked="0" hidden="0"/>
    </xf>
    <xf numFmtId="165" fontId="0" fillId="0" borderId="0" applyAlignment="1" pivotButton="0" quotePrefix="0" xfId="0">
      <alignment horizontal="right"/>
    </xf>
    <xf numFmtId="0" fontId="0" fillId="0" borderId="3" pivotButton="0" quotePrefix="0" xfId="0"/>
    <xf numFmtId="0" fontId="0" fillId="0" borderId="4" pivotButton="0" quotePrefix="0" xfId="0"/>
    <xf numFmtId="0" fontId="9" fillId="12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170" fontId="8" fillId="0" borderId="2" applyAlignment="1" pivotButton="0" quotePrefix="0" xfId="0">
      <alignment horizontal="right" vertical="center"/>
    </xf>
    <xf numFmtId="10" fontId="8" fillId="0" borderId="2" applyAlignment="1" pivotButton="0" quotePrefix="0" xfId="0">
      <alignment horizontal="right" vertical="center"/>
    </xf>
    <xf numFmtId="171" fontId="0" fillId="17" borderId="2" applyAlignment="1" applyProtection="1" pivotButton="0" quotePrefix="0" xfId="0">
      <alignment horizontal="right" vertical="center"/>
      <protection locked="0" hidden="0"/>
    </xf>
    <xf numFmtId="4" fontId="0" fillId="17" borderId="2" applyAlignment="1" applyProtection="1" pivotButton="0" quotePrefix="0" xfId="0">
      <alignment horizontal="right" vertical="center"/>
      <protection locked="0" hidden="0"/>
    </xf>
    <xf numFmtId="172" fontId="8" fillId="0" borderId="2" applyAlignment="1" pivotButton="0" quotePrefix="0" xfId="0">
      <alignment horizontal="right" vertical="center"/>
    </xf>
    <xf numFmtId="173" fontId="8" fillId="0" borderId="2" applyAlignment="1" pivotButton="0" quotePrefix="0" xfId="0">
      <alignment horizontal="right" vertical="center"/>
    </xf>
    <xf numFmtId="170" fontId="8" fillId="0" borderId="2" applyAlignment="1" pivotButton="0" quotePrefix="0" xfId="0">
      <alignment horizontal="right" vertical="center"/>
    </xf>
    <xf numFmtId="172" fontId="8" fillId="0" borderId="2" applyAlignment="1" pivotButton="0" quotePrefix="0" xfId="0">
      <alignment horizontal="right" vertical="center"/>
    </xf>
    <xf numFmtId="173" fontId="8" fillId="0" borderId="2" applyAlignment="1" pivotButton="0" quotePrefix="0" xfId="0">
      <alignment horizontal="right" vertical="center"/>
    </xf>
    <xf numFmtId="171" fontId="0" fillId="17" borderId="2" applyAlignment="1" applyProtection="1" pivotButton="0" quotePrefix="0" xfId="0">
      <alignment horizontal="right" vertical="center"/>
      <protection locked="0" hidden="0"/>
    </xf>
    <xf numFmtId="0" fontId="13" fillId="22" borderId="7" applyAlignment="1" pivotButton="0" quotePrefix="0" xfId="0">
      <alignment horizontal="center"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pane ySplit="1" topLeftCell="A50" activePane="bottomLeft" state="frozen"/>
      <selection pane="bottomLeft" activeCell="W61" sqref="W61"/>
    </sheetView>
  </sheetViews>
  <sheetFormatPr baseColWidth="10" defaultColWidth="8.83203125" defaultRowHeight="15"/>
  <cols>
    <col width="5" customWidth="1" min="1" max="1"/>
    <col width="14" customWidth="1" min="2" max="2"/>
    <col width="12" customWidth="1" min="3" max="3"/>
    <col width="8" customWidth="1" min="4" max="4"/>
    <col width="13" customWidth="1" min="5" max="5"/>
    <col width="7" customWidth="1" min="6" max="6"/>
    <col width="8" customWidth="1" min="7" max="7"/>
    <col width="10" customWidth="1" min="8" max="8"/>
    <col width="14" customWidth="1" min="9" max="9"/>
    <col width="7" customWidth="1" min="10" max="10"/>
    <col width="9" customWidth="1" min="11" max="11"/>
    <col width="14.33203125" customWidth="1" min="12" max="12"/>
    <col width="11" customWidth="1" min="13" max="15"/>
    <col width="10" customWidth="1" min="16" max="19"/>
    <col width="12" customWidth="1" min="20" max="20"/>
    <col width="9" customWidth="1" min="21" max="21"/>
    <col width="12" customWidth="1" min="22" max="22"/>
    <col width="15" customWidth="1" min="23" max="23"/>
    <col width="9" customWidth="1" min="24" max="24"/>
    <col width="11" customWidth="1" min="25" max="26"/>
    <col width="9" customWidth="1" min="27" max="27"/>
  </cols>
  <sheetData>
    <row r="1" ht="22" customHeight="1">
      <c r="A1" s="1" t="inlineStr">
        <is>
          <t>#</t>
        </is>
      </c>
      <c r="B1" s="2" t="inlineStr">
        <is>
          <t>Signal</t>
        </is>
      </c>
      <c r="C1" s="2" t="inlineStr">
        <is>
          <t>Datum</t>
        </is>
      </c>
      <c r="D1" s="2" t="inlineStr">
        <is>
          <t>Zeit</t>
        </is>
      </c>
      <c r="E1" s="2" t="inlineStr">
        <is>
          <t>Account</t>
        </is>
      </c>
      <c r="F1" s="2" t="inlineStr">
        <is>
          <t>Coin</t>
        </is>
      </c>
      <c r="G1" s="2" t="inlineStr">
        <is>
          <t>Richtung</t>
        </is>
      </c>
      <c r="H1" s="3" t="inlineStr">
        <is>
          <t>Kapital</t>
        </is>
      </c>
      <c r="I1" s="3" t="inlineStr">
        <is>
          <t>Einsatz</t>
        </is>
      </c>
      <c r="J1" s="3" t="inlineStr">
        <is>
          <t>Hebel</t>
        </is>
      </c>
      <c r="K1" s="3" t="inlineStr">
        <is>
          <t>% Kapital</t>
        </is>
      </c>
      <c r="L1" s="3" t="inlineStr">
        <is>
          <t>Geh.Einsatz</t>
        </is>
      </c>
      <c r="M1" s="4" t="inlineStr">
        <is>
          <t>Entry 1</t>
        </is>
      </c>
      <c r="N1" s="4" t="inlineStr">
        <is>
          <t>Entry 2</t>
        </is>
      </c>
      <c r="O1" s="4" t="inlineStr">
        <is>
          <t>Entry 3</t>
        </is>
      </c>
      <c r="P1" s="5" t="inlineStr">
        <is>
          <t>TP1</t>
        </is>
      </c>
      <c r="Q1" s="5" t="inlineStr">
        <is>
          <t>TP2</t>
        </is>
      </c>
      <c r="R1" s="5" t="inlineStr">
        <is>
          <t>TP3</t>
        </is>
      </c>
      <c r="S1" s="5" t="inlineStr">
        <is>
          <t>SL</t>
        </is>
      </c>
      <c r="T1" s="6" t="inlineStr">
        <is>
          <t>Ausstieg Dat.</t>
        </is>
      </c>
      <c r="U1" s="6" t="inlineStr">
        <is>
          <t>Ausstieg Zeit</t>
        </is>
      </c>
      <c r="V1" s="6" t="inlineStr">
        <is>
          <t>Kurs Ausstieg</t>
        </is>
      </c>
      <c r="W1" s="6" t="inlineStr">
        <is>
          <t>Dauer</t>
        </is>
      </c>
      <c r="X1" s="7" t="inlineStr">
        <is>
          <t>ROI %</t>
        </is>
      </c>
      <c r="Y1" s="7" t="inlineStr">
        <is>
          <t>PNL USDT</t>
        </is>
      </c>
      <c r="Z1" s="7" t="inlineStr">
        <is>
          <t>Net PNL</t>
        </is>
      </c>
      <c r="AA1" s="7" t="inlineStr">
        <is>
          <t>Abgeschl.</t>
        </is>
      </c>
      <c r="AB1" t="inlineStr">
        <is>
          <t>Notiz</t>
        </is>
      </c>
    </row>
    <row r="2">
      <c r="A2" s="8" t="n">
        <v>1</v>
      </c>
      <c r="B2" s="8" t="inlineStr">
        <is>
          <t>Viona</t>
        </is>
      </c>
      <c r="C2" s="8" t="inlineStr">
        <is>
          <t>17.02.26</t>
        </is>
      </c>
      <c r="D2" s="8" t="inlineStr">
        <is>
          <t>08:35:00</t>
        </is>
      </c>
      <c r="E2" s="8" t="inlineStr">
        <is>
          <t>CK_one</t>
        </is>
      </c>
      <c r="F2" s="8" t="inlineStr">
        <is>
          <t>BEAM</t>
        </is>
      </c>
      <c r="G2" s="8" t="n"/>
      <c r="H2" s="8" t="inlineStr">
        <is>
          <t>100</t>
        </is>
      </c>
      <c r="I2" s="8" t="inlineStr">
        <is>
          <t>10</t>
        </is>
      </c>
      <c r="J2" s="8" t="inlineStr">
        <is>
          <t>10</t>
        </is>
      </c>
      <c r="K2" s="8" t="inlineStr">
        <is>
          <t>10%</t>
        </is>
      </c>
      <c r="L2" s="8" t="inlineStr">
        <is>
          <t>100</t>
        </is>
      </c>
      <c r="M2" s="8" t="inlineStr">
        <is>
          <t>0,00241</t>
        </is>
      </c>
      <c r="N2" s="8" t="n"/>
      <c r="O2" s="8" t="n"/>
      <c r="P2" s="8" t="n"/>
      <c r="Q2" s="8" t="n"/>
      <c r="R2" s="8" t="n"/>
      <c r="S2" s="8" t="n"/>
      <c r="T2" s="8" t="inlineStr">
        <is>
          <t>17.02.26</t>
        </is>
      </c>
      <c r="U2" s="8" t="inlineStr">
        <is>
          <t>10:47:00</t>
        </is>
      </c>
      <c r="V2" s="8" t="n"/>
      <c r="W2" s="12" t="n">
        <v>0.09166666666666666</v>
      </c>
      <c r="X2" s="39" t="n">
        <v>18.37</v>
      </c>
      <c r="Y2" s="40" t="n">
        <v>1.85</v>
      </c>
      <c r="Z2" s="8" t="n"/>
      <c r="AA2" s="8" t="inlineStr">
        <is>
          <t>j</t>
        </is>
      </c>
    </row>
    <row r="3">
      <c r="A3" s="8" t="n">
        <v>2</v>
      </c>
      <c r="B3" s="8" t="inlineStr">
        <is>
          <t>Viona</t>
        </is>
      </c>
      <c r="C3" s="8" t="inlineStr">
        <is>
          <t>20.02.26</t>
        </is>
      </c>
      <c r="D3" s="8" t="inlineStr">
        <is>
          <t>09:31:00</t>
        </is>
      </c>
      <c r="E3" s="8" t="inlineStr">
        <is>
          <t>CK_one</t>
        </is>
      </c>
      <c r="F3" s="8" t="inlineStr">
        <is>
          <t>FF</t>
        </is>
      </c>
      <c r="G3" s="8" t="n"/>
      <c r="H3" s="8" t="inlineStr">
        <is>
          <t>150</t>
        </is>
      </c>
      <c r="I3" s="8" t="inlineStr">
        <is>
          <t>22,5</t>
        </is>
      </c>
      <c r="J3" s="8" t="inlineStr">
        <is>
          <t>10</t>
        </is>
      </c>
      <c r="K3" s="8" t="inlineStr">
        <is>
          <t>15%</t>
        </is>
      </c>
      <c r="L3" s="8" t="inlineStr">
        <is>
          <t>225</t>
        </is>
      </c>
      <c r="M3" s="8" t="inlineStr">
        <is>
          <t>0,0793</t>
        </is>
      </c>
      <c r="N3" s="8" t="n"/>
      <c r="O3" s="8" t="n"/>
      <c r="P3" s="8" t="n"/>
      <c r="Q3" s="8" t="n"/>
      <c r="R3" s="8" t="n"/>
      <c r="S3" s="8" t="n"/>
      <c r="T3" s="8" t="inlineStr">
        <is>
          <t>21.02.26</t>
        </is>
      </c>
      <c r="U3" s="8" t="inlineStr">
        <is>
          <t>09:07:00</t>
        </is>
      </c>
      <c r="V3" s="8" t="n"/>
      <c r="W3" s="12" t="n">
        <v>0.9833333333333333</v>
      </c>
      <c r="X3" s="39" t="n">
        <v>17.67</v>
      </c>
      <c r="Y3" s="40" t="n">
        <v>2.66</v>
      </c>
      <c r="Z3" s="8" t="n"/>
      <c r="AA3" s="8" t="inlineStr">
        <is>
          <t>j</t>
        </is>
      </c>
    </row>
    <row r="4">
      <c r="A4" s="8" t="n">
        <v>3</v>
      </c>
      <c r="B4" s="8" t="inlineStr">
        <is>
          <t>Viona</t>
        </is>
      </c>
      <c r="C4" s="8" t="inlineStr">
        <is>
          <t>20.02.26</t>
        </is>
      </c>
      <c r="D4" s="8" t="inlineStr">
        <is>
          <t>12:29:00</t>
        </is>
      </c>
      <c r="E4" s="8" t="inlineStr">
        <is>
          <t>CC_Master2</t>
        </is>
      </c>
      <c r="F4" s="8" t="inlineStr">
        <is>
          <t>RSR</t>
        </is>
      </c>
      <c r="G4" s="8" t="n"/>
      <c r="H4" s="8" t="inlineStr">
        <is>
          <t>100</t>
        </is>
      </c>
      <c r="I4" s="8" t="inlineStr">
        <is>
          <t>10</t>
        </is>
      </c>
      <c r="J4" s="8" t="inlineStr">
        <is>
          <t>10</t>
        </is>
      </c>
      <c r="K4" s="8" t="inlineStr">
        <is>
          <t>10%</t>
        </is>
      </c>
      <c r="L4" s="8" t="inlineStr">
        <is>
          <t>100</t>
        </is>
      </c>
      <c r="M4" s="8" t="inlineStr">
        <is>
          <t>0,001481</t>
        </is>
      </c>
      <c r="N4" s="8" t="n"/>
      <c r="O4" s="8" t="n"/>
      <c r="P4" s="8" t="n"/>
      <c r="Q4" s="8" t="n"/>
      <c r="R4" s="8" t="n"/>
      <c r="S4" s="8" t="n"/>
      <c r="T4" s="8" t="inlineStr">
        <is>
          <t>21.02.26</t>
        </is>
      </c>
      <c r="U4" s="8" t="inlineStr">
        <is>
          <t>08:08:00</t>
        </is>
      </c>
      <c r="V4" s="8" t="n"/>
      <c r="W4" s="12" t="n">
        <v>0.81875</v>
      </c>
      <c r="X4" s="39" t="n">
        <v>17.92</v>
      </c>
      <c r="Y4" s="40" t="n">
        <v>1.78</v>
      </c>
      <c r="Z4" s="8" t="n"/>
      <c r="AA4" s="8" t="inlineStr">
        <is>
          <t>j</t>
        </is>
      </c>
    </row>
    <row r="5">
      <c r="A5" s="8" t="n">
        <v>4</v>
      </c>
      <c r="B5" s="8" t="inlineStr">
        <is>
          <t>Viona</t>
        </is>
      </c>
      <c r="C5" s="8" t="inlineStr">
        <is>
          <t>24.02.26</t>
        </is>
      </c>
      <c r="D5" s="8" t="inlineStr">
        <is>
          <t>09:10:00</t>
        </is>
      </c>
      <c r="E5" s="8" t="inlineStr">
        <is>
          <t>cc_Master3</t>
        </is>
      </c>
      <c r="F5" s="8" t="inlineStr">
        <is>
          <t>ALGO</t>
        </is>
      </c>
      <c r="G5" s="8" t="n"/>
      <c r="H5" s="8" t="inlineStr">
        <is>
          <t>300</t>
        </is>
      </c>
      <c r="I5" s="8" t="inlineStr">
        <is>
          <t>60</t>
        </is>
      </c>
      <c r="J5" s="8" t="inlineStr">
        <is>
          <t>10</t>
        </is>
      </c>
      <c r="K5" s="8" t="inlineStr">
        <is>
          <t>20%</t>
        </is>
      </c>
      <c r="L5" s="8" t="inlineStr">
        <is>
          <t>600</t>
        </is>
      </c>
      <c r="M5" s="8" t="inlineStr">
        <is>
          <t>0,0837</t>
        </is>
      </c>
      <c r="N5" s="8" t="n"/>
      <c r="O5" s="8" t="n"/>
      <c r="P5" s="8" t="n"/>
      <c r="Q5" s="8" t="n"/>
      <c r="R5" s="8" t="n"/>
      <c r="S5" s="8" t="n"/>
      <c r="T5" s="8" t="inlineStr">
        <is>
          <t>24.02.26</t>
        </is>
      </c>
      <c r="U5" s="8" t="inlineStr">
        <is>
          <t>21:20:00</t>
        </is>
      </c>
      <c r="V5" s="8" t="n"/>
      <c r="W5" s="12" t="n">
        <v>0.5069444444444444</v>
      </c>
      <c r="X5" s="39" t="n">
        <v>13.89</v>
      </c>
      <c r="Y5" s="40" t="n">
        <v>8.67</v>
      </c>
      <c r="Z5" s="8" t="n"/>
      <c r="AA5" s="8" t="inlineStr">
        <is>
          <t>j</t>
        </is>
      </c>
    </row>
    <row r="6">
      <c r="A6" s="8" t="n">
        <v>5</v>
      </c>
      <c r="B6" s="8" t="inlineStr">
        <is>
          <t>Viona</t>
        </is>
      </c>
      <c r="C6" s="8" t="inlineStr">
        <is>
          <t>24.02.26</t>
        </is>
      </c>
      <c r="D6" s="8" t="inlineStr">
        <is>
          <t>12:05:00</t>
        </is>
      </c>
      <c r="E6" s="8" t="inlineStr">
        <is>
          <t>cc_Master4</t>
        </is>
      </c>
      <c r="F6" s="8" t="inlineStr">
        <is>
          <t>ALT</t>
        </is>
      </c>
      <c r="G6" s="8" t="n"/>
      <c r="H6" s="8" t="inlineStr">
        <is>
          <t>500</t>
        </is>
      </c>
      <c r="I6" s="8" t="inlineStr">
        <is>
          <t>50</t>
        </is>
      </c>
      <c r="J6" s="8" t="inlineStr">
        <is>
          <t>10</t>
        </is>
      </c>
      <c r="K6" s="8" t="inlineStr">
        <is>
          <t>10%</t>
        </is>
      </c>
      <c r="L6" s="8" t="inlineStr">
        <is>
          <t>500</t>
        </is>
      </c>
      <c r="M6" s="8" t="inlineStr">
        <is>
          <t>0,00738</t>
        </is>
      </c>
      <c r="N6" s="8" t="n"/>
      <c r="O6" s="8" t="n"/>
      <c r="P6" s="8" t="n"/>
      <c r="Q6" s="8" t="n"/>
      <c r="R6" s="8" t="n"/>
      <c r="S6" s="8" t="n"/>
      <c r="T6" s="8" t="inlineStr">
        <is>
          <t>24.02.26</t>
        </is>
      </c>
      <c r="U6" s="8" t="inlineStr">
        <is>
          <t>21:19:00</t>
        </is>
      </c>
      <c r="V6" s="8" t="n"/>
      <c r="W6" s="12" t="n">
        <v>0.3847222222222222</v>
      </c>
      <c r="X6" s="39" t="n">
        <v>19.21</v>
      </c>
      <c r="Y6" s="40" t="n">
        <v>9.5</v>
      </c>
      <c r="Z6" s="8" t="n"/>
      <c r="AA6" s="8" t="inlineStr">
        <is>
          <t>j</t>
        </is>
      </c>
    </row>
    <row r="7">
      <c r="A7" s="8" t="n">
        <v>6</v>
      </c>
      <c r="B7" s="8" t="inlineStr">
        <is>
          <t>Viona</t>
        </is>
      </c>
      <c r="C7" s="8" t="inlineStr">
        <is>
          <t>26.02.26</t>
        </is>
      </c>
      <c r="D7" s="8" t="inlineStr">
        <is>
          <t>08:14:00</t>
        </is>
      </c>
      <c r="E7" s="8" t="inlineStr">
        <is>
          <t>cc_Master3</t>
        </is>
      </c>
      <c r="F7" s="8" t="inlineStr">
        <is>
          <t>SUI</t>
        </is>
      </c>
      <c r="G7" s="8" t="n"/>
      <c r="H7" s="8" t="inlineStr">
        <is>
          <t>300</t>
        </is>
      </c>
      <c r="I7" s="8" t="inlineStr">
        <is>
          <t>30</t>
        </is>
      </c>
      <c r="J7" s="8" t="inlineStr">
        <is>
          <t>9</t>
        </is>
      </c>
      <c r="K7" s="8" t="inlineStr">
        <is>
          <t>10%</t>
        </is>
      </c>
      <c r="L7" s="8" t="inlineStr">
        <is>
          <t>270</t>
        </is>
      </c>
      <c r="M7" s="8" t="inlineStr">
        <is>
          <t>0,9404</t>
        </is>
      </c>
      <c r="N7" s="8" t="n"/>
      <c r="O7" s="8" t="n"/>
      <c r="P7" s="8" t="n"/>
      <c r="Q7" s="8" t="n"/>
      <c r="R7" s="8" t="n"/>
      <c r="S7" s="8" t="n"/>
      <c r="T7" s="8" t="inlineStr">
        <is>
          <t>27.02.26</t>
        </is>
      </c>
      <c r="U7" s="8" t="inlineStr">
        <is>
          <t>20:01:00</t>
        </is>
      </c>
      <c r="V7" s="8" t="n"/>
      <c r="W7" s="12" t="n">
        <v>1.458333333333333</v>
      </c>
      <c r="X7" s="39" t="n">
        <v>11.08</v>
      </c>
      <c r="Y7" s="40" t="n">
        <v>9.539999999999999</v>
      </c>
      <c r="Z7" s="8" t="n"/>
      <c r="AA7" s="8" t="inlineStr">
        <is>
          <t>j</t>
        </is>
      </c>
    </row>
    <row r="8">
      <c r="A8" s="8" t="n">
        <v>7</v>
      </c>
      <c r="B8" s="8" t="inlineStr">
        <is>
          <t>Viona</t>
        </is>
      </c>
      <c r="C8" s="8" t="inlineStr">
        <is>
          <t>26.02.26</t>
        </is>
      </c>
      <c r="D8" s="8" t="inlineStr">
        <is>
          <t>14:10:00</t>
        </is>
      </c>
      <c r="E8" s="8" t="inlineStr">
        <is>
          <t>cc_Master4</t>
        </is>
      </c>
      <c r="F8" s="8" t="inlineStr">
        <is>
          <t>CAKE</t>
        </is>
      </c>
      <c r="G8" s="8" t="n"/>
      <c r="H8" s="8" t="inlineStr">
        <is>
          <t>500</t>
        </is>
      </c>
      <c r="I8" s="8" t="inlineStr">
        <is>
          <t>75</t>
        </is>
      </c>
      <c r="J8" s="8" t="inlineStr">
        <is>
          <t>10</t>
        </is>
      </c>
      <c r="K8" s="8" t="inlineStr">
        <is>
          <t>15%</t>
        </is>
      </c>
      <c r="L8" s="8" t="inlineStr">
        <is>
          <t>750</t>
        </is>
      </c>
      <c r="M8" s="8" t="inlineStr">
        <is>
          <t>1,2801</t>
        </is>
      </c>
      <c r="N8" s="8" t="n"/>
      <c r="O8" s="8" t="n"/>
      <c r="P8" s="8" t="n"/>
      <c r="Q8" s="8" t="n"/>
      <c r="R8" s="8" t="n"/>
      <c r="S8" s="8" t="n"/>
      <c r="T8" s="8" t="inlineStr">
        <is>
          <t>27.02.26</t>
        </is>
      </c>
      <c r="U8" s="8" t="inlineStr">
        <is>
          <t>19:54:00</t>
        </is>
      </c>
      <c r="V8" s="8" t="n"/>
      <c r="W8" s="12" t="n">
        <v>1.208333333333333</v>
      </c>
      <c r="X8" s="39" t="n">
        <v>7.24</v>
      </c>
      <c r="Y8" s="40" t="n">
        <v>13.29</v>
      </c>
      <c r="Z8" s="8" t="n"/>
      <c r="AA8" s="8" t="inlineStr">
        <is>
          <t>j</t>
        </is>
      </c>
    </row>
    <row r="9">
      <c r="A9" s="8" t="n">
        <v>8</v>
      </c>
      <c r="B9" s="8" t="inlineStr">
        <is>
          <t>Viona</t>
        </is>
      </c>
      <c r="C9" s="8" t="inlineStr">
        <is>
          <t>02.03.26</t>
        </is>
      </c>
      <c r="D9" s="8" t="inlineStr">
        <is>
          <t>06:15:00</t>
        </is>
      </c>
      <c r="E9" s="8" t="inlineStr">
        <is>
          <t>cc_Master3</t>
        </is>
      </c>
      <c r="F9" s="8" t="inlineStr">
        <is>
          <t>AGLD</t>
        </is>
      </c>
      <c r="G9" s="8" t="n"/>
      <c r="H9" s="8" t="inlineStr">
        <is>
          <t>320</t>
        </is>
      </c>
      <c r="I9" s="8" t="inlineStr">
        <is>
          <t>48</t>
        </is>
      </c>
      <c r="J9" s="8" t="inlineStr">
        <is>
          <t>9</t>
        </is>
      </c>
      <c r="K9" s="8" t="inlineStr">
        <is>
          <t>15%</t>
        </is>
      </c>
      <c r="L9" s="8" t="inlineStr">
        <is>
          <t>432</t>
        </is>
      </c>
      <c r="M9" s="8" t="inlineStr">
        <is>
          <t>0,2208</t>
        </is>
      </c>
      <c r="N9" s="8" t="n"/>
      <c r="O9" s="8" t="n"/>
      <c r="P9" s="8" t="n"/>
      <c r="Q9" s="8" t="n"/>
      <c r="R9" s="8" t="n"/>
      <c r="S9" s="8" t="n"/>
      <c r="T9" s="8" t="inlineStr">
        <is>
          <t>02.03.26</t>
        </is>
      </c>
      <c r="U9" s="8" t="inlineStr">
        <is>
          <t>07:45:00</t>
        </is>
      </c>
      <c r="V9" s="8" t="n"/>
      <c r="W9" s="12" t="n">
        <v>0.0625</v>
      </c>
      <c r="X9" s="39" t="n">
        <v>16.8</v>
      </c>
      <c r="Y9" s="40" t="n">
        <v>7.98</v>
      </c>
      <c r="Z9" s="8" t="n"/>
      <c r="AA9" s="8" t="inlineStr">
        <is>
          <t>j</t>
        </is>
      </c>
    </row>
    <row r="10">
      <c r="A10" s="8" t="n">
        <v>9</v>
      </c>
      <c r="B10" s="8" t="inlineStr">
        <is>
          <t>Viona</t>
        </is>
      </c>
      <c r="C10" s="8" t="inlineStr">
        <is>
          <t>03.03.26</t>
        </is>
      </c>
      <c r="D10" s="8" t="inlineStr">
        <is>
          <t>08:12:00</t>
        </is>
      </c>
      <c r="E10" s="8" t="inlineStr">
        <is>
          <t>CC_Master3</t>
        </is>
      </c>
      <c r="F10" s="8" t="inlineStr">
        <is>
          <t>ENA</t>
        </is>
      </c>
      <c r="G10" s="8" t="n"/>
      <c r="H10" s="8" t="inlineStr">
        <is>
          <t>328</t>
        </is>
      </c>
      <c r="I10" s="8" t="inlineStr">
        <is>
          <t>82</t>
        </is>
      </c>
      <c r="J10" s="8" t="inlineStr">
        <is>
          <t>10</t>
        </is>
      </c>
      <c r="K10" s="8" t="inlineStr">
        <is>
          <t>25%</t>
        </is>
      </c>
      <c r="L10" s="8" t="inlineStr">
        <is>
          <t>820</t>
        </is>
      </c>
      <c r="M10" s="8" t="inlineStr">
        <is>
          <t>0,1092</t>
        </is>
      </c>
      <c r="N10" s="8" t="n"/>
      <c r="O10" s="8" t="n"/>
      <c r="P10" s="8" t="n"/>
      <c r="Q10" s="8" t="n"/>
      <c r="R10" s="8" t="n"/>
      <c r="S10" s="8" t="n"/>
      <c r="T10" s="8" t="inlineStr">
        <is>
          <t>03.03.26</t>
        </is>
      </c>
      <c r="U10" s="8" t="inlineStr">
        <is>
          <t>12:45:00</t>
        </is>
      </c>
      <c r="V10" s="8" t="n"/>
      <c r="W10" s="12" t="n">
        <v>0.1895833333333333</v>
      </c>
      <c r="X10" s="39" t="n">
        <v>2.22</v>
      </c>
      <c r="Y10" s="40" t="n">
        <v>5.49</v>
      </c>
      <c r="Z10" s="8" t="n"/>
      <c r="AA10" s="8" t="inlineStr">
        <is>
          <t>j</t>
        </is>
      </c>
    </row>
    <row r="11">
      <c r="A11" s="8" t="n">
        <v>10</v>
      </c>
      <c r="B11" s="8" t="inlineStr">
        <is>
          <t>CryptoCult</t>
        </is>
      </c>
      <c r="C11" s="8" t="inlineStr">
        <is>
          <t>03.03.26</t>
        </is>
      </c>
      <c r="D11" s="8" t="inlineStr">
        <is>
          <t>08:15:00</t>
        </is>
      </c>
      <c r="E11" s="8" t="inlineStr">
        <is>
          <t>CC_Master4</t>
        </is>
      </c>
      <c r="F11" s="8" t="inlineStr">
        <is>
          <t>XLM</t>
        </is>
      </c>
      <c r="G11" s="8" t="n"/>
      <c r="H11" s="8" t="inlineStr">
        <is>
          <t>520</t>
        </is>
      </c>
      <c r="I11" s="8" t="inlineStr">
        <is>
          <t>130</t>
        </is>
      </c>
      <c r="J11" s="8" t="inlineStr">
        <is>
          <t>25</t>
        </is>
      </c>
      <c r="K11" s="8" t="inlineStr">
        <is>
          <t>25%</t>
        </is>
      </c>
      <c r="L11" s="8" t="inlineStr">
        <is>
          <t>3250</t>
        </is>
      </c>
      <c r="M11" s="8" t="inlineStr">
        <is>
          <t>0,15105</t>
        </is>
      </c>
      <c r="N11" s="8" t="n"/>
      <c r="O11" s="8" t="n"/>
      <c r="P11" s="8" t="n"/>
      <c r="Q11" s="8" t="n"/>
      <c r="R11" s="8" t="n"/>
      <c r="S11" s="8" t="n"/>
      <c r="T11" s="8" t="inlineStr">
        <is>
          <t>03.03.26</t>
        </is>
      </c>
      <c r="U11" s="8" t="inlineStr">
        <is>
          <t>14:03:00</t>
        </is>
      </c>
      <c r="V11" s="8" t="n"/>
      <c r="W11" s="12" t="n">
        <v>0.2416666666666667</v>
      </c>
      <c r="X11" s="39" t="n">
        <v>22.36</v>
      </c>
      <c r="Y11" s="40" t="n">
        <v>46.85</v>
      </c>
      <c r="Z11" s="8" t="n"/>
      <c r="AA11" s="8" t="inlineStr">
        <is>
          <t>j</t>
        </is>
      </c>
    </row>
    <row r="12">
      <c r="A12" s="8" t="n">
        <v>11</v>
      </c>
      <c r="B12" s="8" t="inlineStr">
        <is>
          <t>Global Crypto Research</t>
        </is>
      </c>
      <c r="C12" s="8" t="inlineStr">
        <is>
          <t>05.03.26</t>
        </is>
      </c>
      <c r="D12" s="8" t="inlineStr">
        <is>
          <t>08:05:00</t>
        </is>
      </c>
      <c r="E12" s="8" t="inlineStr">
        <is>
          <t>cc_Master3</t>
        </is>
      </c>
      <c r="F12" s="8" t="inlineStr">
        <is>
          <t>AGLD</t>
        </is>
      </c>
      <c r="G12" s="8" t="inlineStr">
        <is>
          <t>l</t>
        </is>
      </c>
      <c r="H12" s="8" t="inlineStr">
        <is>
          <t>250</t>
        </is>
      </c>
      <c r="I12" s="8" t="inlineStr">
        <is>
          <t>50</t>
        </is>
      </c>
      <c r="J12" s="8" t="inlineStr">
        <is>
          <t>20</t>
        </is>
      </c>
      <c r="K12" s="8" t="inlineStr">
        <is>
          <t>20%</t>
        </is>
      </c>
      <c r="L12" s="8" t="inlineStr">
        <is>
          <t>1000</t>
        </is>
      </c>
      <c r="M12" s="8" t="inlineStr">
        <is>
          <t>0,2543</t>
        </is>
      </c>
      <c r="N12" s="8" t="n"/>
      <c r="O12" s="8" t="n"/>
      <c r="P12" s="8" t="n"/>
      <c r="Q12" s="8" t="n"/>
      <c r="R12" s="8" t="n"/>
      <c r="S12" s="8" t="n"/>
      <c r="T12" s="8" t="inlineStr">
        <is>
          <t>05.03.26</t>
        </is>
      </c>
      <c r="U12" s="8" t="inlineStr">
        <is>
          <t>20:07:00</t>
        </is>
      </c>
      <c r="V12" s="8" t="n"/>
      <c r="W12" s="12" t="n">
        <v>0.5013888888888889</v>
      </c>
      <c r="X12" s="39" t="n">
        <v>35.15</v>
      </c>
      <c r="Y12" s="40" t="n">
        <v>15.94</v>
      </c>
      <c r="Z12" s="8" t="n"/>
      <c r="AA12" s="8" t="inlineStr">
        <is>
          <t>j</t>
        </is>
      </c>
    </row>
    <row r="13">
      <c r="A13" s="9" t="n">
        <v>12</v>
      </c>
      <c r="B13" s="9" t="inlineStr">
        <is>
          <t>Global Crypto Research</t>
        </is>
      </c>
      <c r="C13" s="9" t="inlineStr">
        <is>
          <t>04.03.26</t>
        </is>
      </c>
      <c r="D13" s="9" t="inlineStr">
        <is>
          <t>21:08:00</t>
        </is>
      </c>
      <c r="E13" s="9" t="inlineStr">
        <is>
          <t>cc_Master3</t>
        </is>
      </c>
      <c r="F13" s="9" t="inlineStr">
        <is>
          <t>WET</t>
        </is>
      </c>
      <c r="G13" s="9" t="n"/>
      <c r="H13" s="9" t="inlineStr">
        <is>
          <t>328</t>
        </is>
      </c>
      <c r="I13" s="9" t="inlineStr">
        <is>
          <t>98,4</t>
        </is>
      </c>
      <c r="J13" s="9" t="inlineStr">
        <is>
          <t>25</t>
        </is>
      </c>
      <c r="K13" s="9" t="inlineStr">
        <is>
          <t>30%</t>
        </is>
      </c>
      <c r="L13" s="9" t="inlineStr">
        <is>
          <t>2460</t>
        </is>
      </c>
      <c r="M13" s="9" t="inlineStr">
        <is>
          <t>0,11659</t>
        </is>
      </c>
      <c r="N13" s="9" t="n"/>
      <c r="O13" s="9" t="n"/>
      <c r="P13" s="9" t="n"/>
      <c r="Q13" s="9" t="n"/>
      <c r="R13" s="9" t="n"/>
      <c r="S13" s="9" t="n"/>
      <c r="T13" s="9" t="inlineStr">
        <is>
          <t>03.03.26</t>
        </is>
      </c>
      <c r="U13" s="9" t="inlineStr">
        <is>
          <t>21:10:00</t>
        </is>
      </c>
      <c r="V13" s="9" t="n"/>
      <c r="W13" s="13" t="n"/>
      <c r="X13" s="41" t="n">
        <v>-7.4</v>
      </c>
      <c r="Y13" s="42" t="n">
        <v>-9.550000000000001</v>
      </c>
      <c r="Z13" s="9" t="n"/>
      <c r="AA13" s="9" t="inlineStr">
        <is>
          <t>j</t>
        </is>
      </c>
    </row>
    <row r="14">
      <c r="A14" s="9" t="n">
        <v>13</v>
      </c>
      <c r="B14" s="9" t="inlineStr">
        <is>
          <t>Global Crypto Research</t>
        </is>
      </c>
      <c r="C14" s="9" t="inlineStr">
        <is>
          <t>04.03.26</t>
        </is>
      </c>
      <c r="D14" s="9" t="inlineStr">
        <is>
          <t>21:13:00</t>
        </is>
      </c>
      <c r="E14" s="9" t="inlineStr">
        <is>
          <t>cc_Master3</t>
        </is>
      </c>
      <c r="F14" s="9" t="inlineStr">
        <is>
          <t>WET</t>
        </is>
      </c>
      <c r="G14" s="9" t="n"/>
      <c r="H14" s="9" t="inlineStr">
        <is>
          <t>320</t>
        </is>
      </c>
      <c r="I14" s="9" t="inlineStr">
        <is>
          <t>96</t>
        </is>
      </c>
      <c r="J14" s="9" t="inlineStr">
        <is>
          <t>25</t>
        </is>
      </c>
      <c r="K14" s="9" t="inlineStr">
        <is>
          <t>30%</t>
        </is>
      </c>
      <c r="L14" s="9" t="inlineStr">
        <is>
          <t>2400</t>
        </is>
      </c>
      <c r="M14" s="9" t="inlineStr">
        <is>
          <t>0,11745</t>
        </is>
      </c>
      <c r="N14" s="9" t="n"/>
      <c r="O14" s="9" t="n"/>
      <c r="P14" s="9" t="n"/>
      <c r="Q14" s="9" t="n"/>
      <c r="R14" s="9" t="n"/>
      <c r="S14" s="9" t="n"/>
      <c r="T14" s="9" t="inlineStr">
        <is>
          <t>03.03.26</t>
        </is>
      </c>
      <c r="U14" s="9" t="inlineStr">
        <is>
          <t>21:46:00</t>
        </is>
      </c>
      <c r="V14" s="9" t="n"/>
      <c r="W14" s="13" t="n"/>
      <c r="X14" s="41" t="n">
        <v>-28.3</v>
      </c>
      <c r="Y14" s="42" t="n">
        <v>-35.62</v>
      </c>
      <c r="Z14" s="9" t="n"/>
      <c r="AA14" s="9" t="inlineStr">
        <is>
          <t>j</t>
        </is>
      </c>
    </row>
    <row r="15">
      <c r="A15" s="9" t="n">
        <v>14</v>
      </c>
      <c r="B15" s="9" t="inlineStr">
        <is>
          <t>CryptoCult</t>
        </is>
      </c>
      <c r="C15" s="9" t="inlineStr">
        <is>
          <t>04.03.26</t>
        </is>
      </c>
      <c r="D15" s="9" t="inlineStr">
        <is>
          <t>22:06:00</t>
        </is>
      </c>
      <c r="E15" s="9" t="inlineStr">
        <is>
          <t>cc_Master3</t>
        </is>
      </c>
      <c r="F15" s="9" t="inlineStr">
        <is>
          <t>PHA</t>
        </is>
      </c>
      <c r="G15" s="9" t="n"/>
      <c r="H15" s="9" t="inlineStr">
        <is>
          <t>290</t>
        </is>
      </c>
      <c r="I15" s="9" t="inlineStr">
        <is>
          <t>72,5</t>
        </is>
      </c>
      <c r="J15" s="9" t="inlineStr">
        <is>
          <t>25</t>
        </is>
      </c>
      <c r="K15" s="9" t="inlineStr">
        <is>
          <t>25%</t>
        </is>
      </c>
      <c r="L15" s="9" t="inlineStr">
        <is>
          <t>1812,5</t>
        </is>
      </c>
      <c r="M15" s="9" t="inlineStr">
        <is>
          <t>0,04916</t>
        </is>
      </c>
      <c r="N15" s="9" t="n"/>
      <c r="O15" s="9" t="n"/>
      <c r="P15" s="9" t="n"/>
      <c r="Q15" s="9" t="n"/>
      <c r="R15" s="9" t="n"/>
      <c r="S15" s="9" t="n"/>
      <c r="T15" s="9" t="inlineStr">
        <is>
          <t>05.03.25</t>
        </is>
      </c>
      <c r="U15" s="9" t="inlineStr">
        <is>
          <t>02:22:00</t>
        </is>
      </c>
      <c r="V15" s="9" t="n"/>
      <c r="W15" s="13" t="n"/>
      <c r="X15" s="41" t="n">
        <v>-50.75</v>
      </c>
      <c r="Y15" s="42" t="n">
        <v>-92.52</v>
      </c>
      <c r="Z15" s="9" t="n"/>
      <c r="AA15" s="9" t="inlineStr">
        <is>
          <t>j</t>
        </is>
      </c>
    </row>
    <row r="16">
      <c r="A16" s="8" t="n">
        <v>15</v>
      </c>
      <c r="B16" s="8" t="inlineStr">
        <is>
          <t>Viona</t>
        </is>
      </c>
      <c r="C16" s="8" t="inlineStr">
        <is>
          <t>05.03.26</t>
        </is>
      </c>
      <c r="D16" s="8" t="inlineStr">
        <is>
          <t>14:07:00</t>
        </is>
      </c>
      <c r="E16" s="8" t="inlineStr">
        <is>
          <t>cc_Master4</t>
        </is>
      </c>
      <c r="F16" s="8" t="inlineStr">
        <is>
          <t>LINK</t>
        </is>
      </c>
      <c r="G16" s="8" t="inlineStr">
        <is>
          <t>s</t>
        </is>
      </c>
      <c r="H16" s="8" t="inlineStr">
        <is>
          <t>520</t>
        </is>
      </c>
      <c r="I16" s="8" t="inlineStr">
        <is>
          <t>52</t>
        </is>
      </c>
      <c r="J16" s="8" t="inlineStr">
        <is>
          <t>10</t>
        </is>
      </c>
      <c r="K16" s="8" t="inlineStr">
        <is>
          <t>10%</t>
        </is>
      </c>
      <c r="L16" s="8" t="inlineStr">
        <is>
          <t>520</t>
        </is>
      </c>
      <c r="M16" s="8" t="inlineStr">
        <is>
          <t>9,076</t>
        </is>
      </c>
      <c r="N16" s="8" t="n"/>
      <c r="O16" s="8" t="n"/>
      <c r="P16" s="8" t="n"/>
      <c r="Q16" s="8" t="n"/>
      <c r="R16" s="8" t="n"/>
      <c r="S16" s="8" t="n"/>
      <c r="T16" s="8" t="inlineStr">
        <is>
          <t>06.03.25</t>
        </is>
      </c>
      <c r="U16" s="8" t="inlineStr">
        <is>
          <t>23:13:00</t>
        </is>
      </c>
      <c r="V16" s="8" t="n"/>
      <c r="W16" s="12" t="n"/>
      <c r="X16" s="39" t="n">
        <v>40.72</v>
      </c>
      <c r="Y16" s="40" t="n">
        <v>70.09999999999999</v>
      </c>
      <c r="Z16" s="8" t="n"/>
      <c r="AA16" s="8" t="inlineStr">
        <is>
          <t>j</t>
        </is>
      </c>
    </row>
    <row r="17">
      <c r="A17" s="8" t="n">
        <v>16</v>
      </c>
      <c r="B17" s="8" t="inlineStr">
        <is>
          <t>Crypto pro Traders</t>
        </is>
      </c>
      <c r="C17" s="8" t="inlineStr">
        <is>
          <t>07.03.26</t>
        </is>
      </c>
      <c r="D17" s="8" t="inlineStr">
        <is>
          <t>08:40:00</t>
        </is>
      </c>
      <c r="E17" s="8" t="inlineStr">
        <is>
          <t>CC_Master2</t>
        </is>
      </c>
      <c r="F17" s="8" t="inlineStr">
        <is>
          <t>TRUMP</t>
        </is>
      </c>
      <c r="G17" s="8" t="inlineStr">
        <is>
          <t>s</t>
        </is>
      </c>
      <c r="H17" s="8" t="inlineStr">
        <is>
          <t>206</t>
        </is>
      </c>
      <c r="I17" s="8" t="inlineStr">
        <is>
          <t>10,3</t>
        </is>
      </c>
      <c r="J17" s="8" t="inlineStr">
        <is>
          <t>50</t>
        </is>
      </c>
      <c r="K17" s="8" t="inlineStr">
        <is>
          <t>5%</t>
        </is>
      </c>
      <c r="L17" s="8" t="inlineStr">
        <is>
          <t>515</t>
        </is>
      </c>
      <c r="M17" s="8" t="inlineStr">
        <is>
          <t>3,054</t>
        </is>
      </c>
      <c r="N17" s="8" t="n"/>
      <c r="O17" s="8" t="n"/>
      <c r="P17" s="8" t="n"/>
      <c r="Q17" s="8" t="n"/>
      <c r="R17" s="8" t="n"/>
      <c r="S17" s="8" t="n"/>
      <c r="T17" s="8" t="inlineStr">
        <is>
          <t>07.03.26</t>
        </is>
      </c>
      <c r="U17" s="8" t="inlineStr">
        <is>
          <t>13:21:00</t>
        </is>
      </c>
      <c r="V17" s="8" t="n"/>
      <c r="W17" s="12" t="n">
        <v>0.1951388888888889</v>
      </c>
      <c r="X17" s="39" t="n">
        <v>6.66</v>
      </c>
      <c r="Y17" s="40" t="n">
        <v>-0.12</v>
      </c>
      <c r="Z17" s="8" t="n"/>
      <c r="AA17" s="8" t="inlineStr">
        <is>
          <t>j</t>
        </is>
      </c>
    </row>
    <row r="18">
      <c r="A18" s="9" t="n">
        <v>17</v>
      </c>
      <c r="B18" s="9" t="inlineStr">
        <is>
          <t>Crypto pro Traders</t>
        </is>
      </c>
      <c r="C18" s="9" t="inlineStr">
        <is>
          <t>07.03.26</t>
        </is>
      </c>
      <c r="D18" s="9" t="inlineStr">
        <is>
          <t>09:00:00</t>
        </is>
      </c>
      <c r="E18" s="9" t="inlineStr">
        <is>
          <t>CC_Master2</t>
        </is>
      </c>
      <c r="F18" s="9" t="inlineStr">
        <is>
          <t>ALLO</t>
        </is>
      </c>
      <c r="G18" s="9" t="inlineStr">
        <is>
          <t>s</t>
        </is>
      </c>
      <c r="H18" s="9" t="inlineStr">
        <is>
          <t>195</t>
        </is>
      </c>
      <c r="I18" s="9" t="inlineStr">
        <is>
          <t>10,725</t>
        </is>
      </c>
      <c r="J18" s="9" t="inlineStr">
        <is>
          <t>20</t>
        </is>
      </c>
      <c r="K18" s="9" t="inlineStr">
        <is>
          <t>6%</t>
        </is>
      </c>
      <c r="L18" s="9" t="inlineStr">
        <is>
          <t>214,5</t>
        </is>
      </c>
      <c r="M18" s="9" t="inlineStr">
        <is>
          <t>0,1215</t>
        </is>
      </c>
      <c r="N18" s="9" t="n"/>
      <c r="O18" s="9" t="n"/>
      <c r="P18" s="9" t="n"/>
      <c r="Q18" s="9" t="n"/>
      <c r="R18" s="9" t="n"/>
      <c r="S18" s="9" t="n"/>
      <c r="T18" s="9" t="inlineStr">
        <is>
          <t>07.03.26</t>
        </is>
      </c>
      <c r="U18" s="9" t="inlineStr">
        <is>
          <t>11:32:00</t>
        </is>
      </c>
      <c r="V18" s="9" t="n"/>
      <c r="W18" s="13" t="n">
        <v>0.1055555555555556</v>
      </c>
      <c r="X18" s="41" t="n">
        <v>-101.13</v>
      </c>
      <c r="Y18" s="42" t="n">
        <v>-10.42</v>
      </c>
      <c r="Z18" s="9" t="n"/>
      <c r="AA18" s="9" t="inlineStr">
        <is>
          <t>j</t>
        </is>
      </c>
    </row>
    <row r="19">
      <c r="A19" s="10" t="n">
        <v>18</v>
      </c>
      <c r="B19" s="10" t="inlineStr">
        <is>
          <t>Binance 360</t>
        </is>
      </c>
      <c r="C19" s="10" t="inlineStr">
        <is>
          <t>07.03.26</t>
        </is>
      </c>
      <c r="D19" s="10" t="inlineStr">
        <is>
          <t>10:10:00</t>
        </is>
      </c>
      <c r="E19" s="10" t="inlineStr">
        <is>
          <t>CC_Master2</t>
        </is>
      </c>
      <c r="F19" s="10" t="inlineStr">
        <is>
          <t>RLC</t>
        </is>
      </c>
      <c r="G19" s="10" t="n"/>
      <c r="H19" s="10" t="inlineStr">
        <is>
          <t>184</t>
        </is>
      </c>
      <c r="I19" s="10" t="inlineStr">
        <is>
          <t>92</t>
        </is>
      </c>
      <c r="J19" s="10" t="inlineStr">
        <is>
          <t>10</t>
        </is>
      </c>
      <c r="K19" s="10" t="inlineStr">
        <is>
          <t>50%</t>
        </is>
      </c>
      <c r="L19" s="10" t="inlineStr">
        <is>
          <t>920</t>
        </is>
      </c>
      <c r="M19" s="10" t="inlineStr">
        <is>
          <t>nicht getradet</t>
        </is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inlineStr">
        <is>
          <t>j</t>
        </is>
      </c>
    </row>
    <row r="20">
      <c r="A20" s="8" t="n">
        <v>19</v>
      </c>
      <c r="B20" s="8" t="inlineStr">
        <is>
          <t>Viona</t>
        </is>
      </c>
      <c r="C20" s="8" t="inlineStr">
        <is>
          <t>11.03.26</t>
        </is>
      </c>
      <c r="D20" s="8" t="inlineStr">
        <is>
          <t>05:43:00</t>
        </is>
      </c>
      <c r="E20" s="8" t="inlineStr">
        <is>
          <t>CC_Master1</t>
        </is>
      </c>
      <c r="F20" s="8" t="inlineStr">
        <is>
          <t>SUI</t>
        </is>
      </c>
      <c r="G20" s="8" t="inlineStr">
        <is>
          <t>s</t>
        </is>
      </c>
      <c r="H20" s="8" t="inlineStr">
        <is>
          <t>1000</t>
        </is>
      </c>
      <c r="I20" s="8" t="inlineStr">
        <is>
          <t>150</t>
        </is>
      </c>
      <c r="J20" s="8" t="inlineStr">
        <is>
          <t>10</t>
        </is>
      </c>
      <c r="K20" s="8" t="inlineStr">
        <is>
          <t>15%</t>
        </is>
      </c>
      <c r="L20" s="8" t="inlineStr">
        <is>
          <t>1500</t>
        </is>
      </c>
      <c r="M20" s="8" t="inlineStr">
        <is>
          <t>0,9498</t>
        </is>
      </c>
      <c r="N20" s="8" t="n"/>
      <c r="O20" s="8" t="n"/>
      <c r="P20" s="8" t="n"/>
      <c r="Q20" s="8" t="n"/>
      <c r="R20" s="8" t="n"/>
      <c r="S20" s="8" t="n"/>
      <c r="T20" s="8" t="inlineStr">
        <is>
          <t>11.03.26</t>
        </is>
      </c>
      <c r="U20" s="8" t="inlineStr">
        <is>
          <t>22:35:00</t>
        </is>
      </c>
      <c r="V20" s="8" t="n"/>
      <c r="W20" s="12" t="n">
        <v>0.7027777777777777</v>
      </c>
      <c r="X20" s="39" t="n">
        <v>7.88</v>
      </c>
      <c r="Y20" s="40" t="n">
        <v>77.97</v>
      </c>
      <c r="Z20" s="8" t="n"/>
      <c r="AA20" s="8" t="inlineStr">
        <is>
          <t>j</t>
        </is>
      </c>
    </row>
    <row r="21">
      <c r="A21" s="8" t="n">
        <v>20</v>
      </c>
      <c r="B21" s="8" t="inlineStr">
        <is>
          <t>Viona</t>
        </is>
      </c>
      <c r="C21" s="8" t="inlineStr">
        <is>
          <t>10.03.26</t>
        </is>
      </c>
      <c r="D21" s="8" t="inlineStr">
        <is>
          <t>15:17:00</t>
        </is>
      </c>
      <c r="E21" s="8" t="inlineStr">
        <is>
          <t>CC_Master4</t>
        </is>
      </c>
      <c r="F21" s="8" t="inlineStr">
        <is>
          <t>LINK</t>
        </is>
      </c>
      <c r="G21" s="8" t="inlineStr">
        <is>
          <t>s</t>
        </is>
      </c>
      <c r="H21" s="8" t="inlineStr">
        <is>
          <t>595</t>
        </is>
      </c>
      <c r="I21" s="8" t="inlineStr">
        <is>
          <t>59,5</t>
        </is>
      </c>
      <c r="J21" s="8" t="inlineStr">
        <is>
          <t>10</t>
        </is>
      </c>
      <c r="K21" s="8" t="inlineStr">
        <is>
          <t>10%</t>
        </is>
      </c>
      <c r="L21" s="8" t="inlineStr">
        <is>
          <t>595</t>
        </is>
      </c>
      <c r="M21" s="8" t="inlineStr">
        <is>
          <t>8,97</t>
        </is>
      </c>
      <c r="N21" s="8" t="n"/>
      <c r="O21" s="8" t="n"/>
      <c r="P21" s="8" t="n"/>
      <c r="Q21" s="8" t="n"/>
      <c r="R21" s="8" t="n"/>
      <c r="S21" s="8" t="n"/>
      <c r="T21" s="8" t="inlineStr">
        <is>
          <t>11.03.26</t>
        </is>
      </c>
      <c r="U21" s="8" t="inlineStr">
        <is>
          <t>12:40:00</t>
        </is>
      </c>
      <c r="V21" s="8" t="n"/>
      <c r="W21" s="12" t="n">
        <v>0.8909722222222223</v>
      </c>
      <c r="X21" s="39" t="n">
        <v>1.98</v>
      </c>
      <c r="Y21" s="40" t="n">
        <v>5.5</v>
      </c>
      <c r="Z21" s="8" t="n"/>
      <c r="AA21" s="8" t="inlineStr">
        <is>
          <t>j</t>
        </is>
      </c>
    </row>
    <row r="22">
      <c r="A22" s="9" t="n">
        <v>21</v>
      </c>
      <c r="B22" s="9" t="inlineStr">
        <is>
          <t>Crypto pro Traders</t>
        </is>
      </c>
      <c r="C22" s="9" t="inlineStr">
        <is>
          <t>11.03.26</t>
        </is>
      </c>
      <c r="D22" s="9" t="inlineStr">
        <is>
          <t>19:18:00</t>
        </is>
      </c>
      <c r="E22" s="9" t="inlineStr">
        <is>
          <t>CC_Master2</t>
        </is>
      </c>
      <c r="F22" s="9" t="inlineStr">
        <is>
          <t>DEGO</t>
        </is>
      </c>
      <c r="G22" s="9" t="inlineStr">
        <is>
          <t>s</t>
        </is>
      </c>
      <c r="H22" s="9" t="inlineStr">
        <is>
          <t>206</t>
        </is>
      </c>
      <c r="I22" s="9" t="inlineStr">
        <is>
          <t>72,1</t>
        </is>
      </c>
      <c r="J22" s="9" t="inlineStr">
        <is>
          <t>20</t>
        </is>
      </c>
      <c r="K22" s="9" t="inlineStr">
        <is>
          <t>35%</t>
        </is>
      </c>
      <c r="L22" s="9" t="inlineStr">
        <is>
          <t>1442</t>
        </is>
      </c>
      <c r="M22" s="9" t="inlineStr">
        <is>
          <t>0,9109</t>
        </is>
      </c>
      <c r="N22" s="9" t="n"/>
      <c r="O22" s="9" t="n"/>
      <c r="P22" s="9" t="n"/>
      <c r="Q22" s="9" t="n"/>
      <c r="R22" s="9" t="n"/>
      <c r="S22" s="9" t="n"/>
      <c r="T22" s="9" t="inlineStr">
        <is>
          <t>11.03.26</t>
        </is>
      </c>
      <c r="U22" s="9" t="inlineStr">
        <is>
          <t>21:38:00</t>
        </is>
      </c>
      <c r="V22" s="9" t="n"/>
      <c r="W22" s="13" t="n">
        <v>0.09722222222222222</v>
      </c>
      <c r="X22" s="41" t="n">
        <v>-96.37</v>
      </c>
      <c r="Y22" s="42" t="n">
        <v>-79.83</v>
      </c>
      <c r="Z22" s="9" t="n"/>
      <c r="AA22" s="9" t="inlineStr">
        <is>
          <t>j</t>
        </is>
      </c>
    </row>
    <row r="23">
      <c r="A23" s="8" t="n">
        <v>22</v>
      </c>
      <c r="B23" s="8" t="inlineStr">
        <is>
          <t>Viona</t>
        </is>
      </c>
      <c r="C23" s="8" t="inlineStr">
        <is>
          <t>11.03.26</t>
        </is>
      </c>
      <c r="D23" s="8" t="inlineStr">
        <is>
          <t>20:00:00</t>
        </is>
      </c>
      <c r="E23" s="8" t="inlineStr">
        <is>
          <t>cc_Master4</t>
        </is>
      </c>
      <c r="F23" s="8" t="inlineStr">
        <is>
          <t>AVAX</t>
        </is>
      </c>
      <c r="G23" s="8" t="inlineStr">
        <is>
          <t>s</t>
        </is>
      </c>
      <c r="H23" s="8" t="inlineStr">
        <is>
          <t>597</t>
        </is>
      </c>
      <c r="I23" s="8" t="inlineStr">
        <is>
          <t>119,4</t>
        </is>
      </c>
      <c r="J23" s="8" t="inlineStr">
        <is>
          <t>10</t>
        </is>
      </c>
      <c r="K23" s="8" t="inlineStr">
        <is>
          <t>20%</t>
        </is>
      </c>
      <c r="L23" s="8" t="inlineStr">
        <is>
          <t>1194</t>
        </is>
      </c>
      <c r="M23" s="8" t="inlineStr">
        <is>
          <t>9,543</t>
        </is>
      </c>
      <c r="N23" s="8" t="n"/>
      <c r="O23" s="8" t="n"/>
      <c r="P23" s="8" t="n"/>
      <c r="Q23" s="8" t="n"/>
      <c r="R23" s="8" t="n"/>
      <c r="S23" s="8" t="n"/>
      <c r="T23" s="8" t="inlineStr">
        <is>
          <t>11.03.26</t>
        </is>
      </c>
      <c r="U23" s="8" t="inlineStr">
        <is>
          <t>23:33:00</t>
        </is>
      </c>
      <c r="V23" s="8" t="n"/>
      <c r="W23" s="12" t="n">
        <v>0.1479166666666667</v>
      </c>
      <c r="X23" s="39" t="n">
        <v>6.14</v>
      </c>
      <c r="Y23" s="40" t="n">
        <v>4.8</v>
      </c>
      <c r="Z23" s="8" t="n"/>
      <c r="AA23" s="8" t="inlineStr">
        <is>
          <t>j</t>
        </is>
      </c>
    </row>
    <row r="24">
      <c r="A24" s="8" t="n">
        <v>23</v>
      </c>
      <c r="B24" s="8" t="inlineStr">
        <is>
          <t>Viona</t>
        </is>
      </c>
      <c r="C24" s="8" t="inlineStr">
        <is>
          <t>13.03.26</t>
        </is>
      </c>
      <c r="D24" s="8" t="inlineStr">
        <is>
          <t>16:05:00</t>
        </is>
      </c>
      <c r="E24" s="8" t="inlineStr">
        <is>
          <t>CC_Master1</t>
        </is>
      </c>
      <c r="F24" s="8" t="inlineStr">
        <is>
          <t>BCH</t>
        </is>
      </c>
      <c r="G24" s="8" t="n"/>
      <c r="H24" s="8" t="n"/>
      <c r="I24" s="8" t="inlineStr">
        <is>
          <t>0</t>
        </is>
      </c>
      <c r="J24" s="8" t="n"/>
      <c r="K24" s="8" t="n"/>
      <c r="L24" s="8" t="inlineStr">
        <is>
          <t>0</t>
        </is>
      </c>
      <c r="M24" s="8" t="inlineStr">
        <is>
          <t>461,87</t>
        </is>
      </c>
      <c r="N24" s="8" t="n"/>
      <c r="O24" s="8" t="n"/>
      <c r="P24" s="8" t="n"/>
      <c r="Q24" s="8" t="n"/>
      <c r="R24" s="8" t="n"/>
      <c r="S24" s="8" t="n"/>
      <c r="T24" s="8" t="inlineStr">
        <is>
          <t>14.03.26</t>
        </is>
      </c>
      <c r="U24" s="8" t="inlineStr">
        <is>
          <t>03:34:00</t>
        </is>
      </c>
      <c r="V24" s="8" t="n"/>
      <c r="W24" s="12" t="n">
        <v>0.4784722222222222</v>
      </c>
      <c r="X24" s="39" t="n">
        <v>1.37</v>
      </c>
      <c r="Y24" s="40" t="n">
        <v>1.46</v>
      </c>
      <c r="Z24" s="8" t="n"/>
      <c r="AA24" s="8" t="inlineStr">
        <is>
          <t>j</t>
        </is>
      </c>
    </row>
    <row r="25">
      <c r="A25" s="9" t="n">
        <v>24</v>
      </c>
      <c r="B25" s="9" t="inlineStr">
        <is>
          <t>Viona</t>
        </is>
      </c>
      <c r="C25" s="9" t="inlineStr">
        <is>
          <t>16.03.26</t>
        </is>
      </c>
      <c r="D25" s="9" t="inlineStr">
        <is>
          <t>10:04:00</t>
        </is>
      </c>
      <c r="E25" s="9" t="inlineStr">
        <is>
          <t>CC_Master1</t>
        </is>
      </c>
      <c r="F25" s="9" t="inlineStr">
        <is>
          <t>CELO</t>
        </is>
      </c>
      <c r="G25" s="9" t="n"/>
      <c r="H25" s="9" t="n"/>
      <c r="I25" s="9" t="inlineStr">
        <is>
          <t>0</t>
        </is>
      </c>
      <c r="J25" s="9" t="n"/>
      <c r="K25" s="9" t="n"/>
      <c r="L25" s="9" t="inlineStr">
        <is>
          <t>0</t>
        </is>
      </c>
      <c r="M25" s="9" t="inlineStr">
        <is>
          <t>0,08</t>
        </is>
      </c>
      <c r="N25" s="9" t="n"/>
      <c r="O25" s="9" t="n"/>
      <c r="P25" s="9" t="n"/>
      <c r="Q25" s="9" t="n"/>
      <c r="R25" s="9" t="n"/>
      <c r="S25" s="9" t="n"/>
      <c r="T25" s="9" t="inlineStr">
        <is>
          <t>17.03.26</t>
        </is>
      </c>
      <c r="U25" s="9" t="inlineStr">
        <is>
          <t>00:13:00</t>
        </is>
      </c>
      <c r="V25" s="9" t="n"/>
      <c r="W25" s="13" t="n">
        <v>0.5895833333333333</v>
      </c>
      <c r="X25" s="41" t="n">
        <v>-14.59</v>
      </c>
      <c r="Y25" s="42" t="n">
        <v>-29.04</v>
      </c>
      <c r="Z25" s="9" t="n"/>
      <c r="AA25" s="9" t="inlineStr">
        <is>
          <t>j</t>
        </is>
      </c>
    </row>
    <row r="26">
      <c r="A26" s="8" t="n">
        <v>25</v>
      </c>
      <c r="B26" s="8" t="inlineStr">
        <is>
          <t>Viona</t>
        </is>
      </c>
      <c r="C26" s="8" t="inlineStr">
        <is>
          <t>18.03.26</t>
        </is>
      </c>
      <c r="D26" s="8" t="inlineStr">
        <is>
          <t>10:59:00</t>
        </is>
      </c>
      <c r="E26" s="8" t="inlineStr">
        <is>
          <t>CC_Master1</t>
        </is>
      </c>
      <c r="F26" s="8" t="inlineStr">
        <is>
          <t>1INCH</t>
        </is>
      </c>
      <c r="G26" s="8" t="n"/>
      <c r="H26" s="8" t="n"/>
      <c r="I26" s="8" t="inlineStr">
        <is>
          <t>0</t>
        </is>
      </c>
      <c r="J26" s="8" t="n"/>
      <c r="K26" s="8" t="n"/>
      <c r="L26" s="8" t="inlineStr">
        <is>
          <t>0</t>
        </is>
      </c>
      <c r="M26" s="8" t="inlineStr">
        <is>
          <t>0,102277</t>
        </is>
      </c>
      <c r="N26" s="8" t="n"/>
      <c r="O26" s="8" t="n"/>
      <c r="P26" s="8" t="n"/>
      <c r="Q26" s="8" t="n"/>
      <c r="R26" s="8" t="n"/>
      <c r="S26" s="8" t="n"/>
      <c r="T26" s="8" t="inlineStr">
        <is>
          <t>18.03.26</t>
        </is>
      </c>
      <c r="U26" s="8" t="inlineStr">
        <is>
          <t>11:37:00</t>
        </is>
      </c>
      <c r="V26" s="8" t="n"/>
      <c r="W26" s="12" t="n">
        <v>0.02638888888888889</v>
      </c>
      <c r="X26" s="39" t="n">
        <v>10.8</v>
      </c>
      <c r="Y26" s="40" t="n">
        <v>10.64</v>
      </c>
      <c r="Z26" s="8" t="n"/>
      <c r="AA26" s="8" t="inlineStr">
        <is>
          <t>j</t>
        </is>
      </c>
    </row>
    <row r="27">
      <c r="A27" s="9" t="n">
        <v>26</v>
      </c>
      <c r="B27" s="9" t="inlineStr">
        <is>
          <t>SignalGruppe</t>
        </is>
      </c>
      <c r="C27" s="9" t="inlineStr">
        <is>
          <t>12.03.26</t>
        </is>
      </c>
      <c r="D27" s="9" t="inlineStr">
        <is>
          <t>02:01:00</t>
        </is>
      </c>
      <c r="E27" s="9" t="inlineStr">
        <is>
          <t>CC_Master2</t>
        </is>
      </c>
      <c r="F27" s="9" t="inlineStr">
        <is>
          <t>LINK</t>
        </is>
      </c>
      <c r="G27" s="9" t="n"/>
      <c r="H27" s="9" t="n"/>
      <c r="I27" s="9" t="inlineStr">
        <is>
          <t>0</t>
        </is>
      </c>
      <c r="J27" s="9" t="n"/>
      <c r="K27" s="9" t="n"/>
      <c r="L27" s="9" t="inlineStr">
        <is>
          <t>0</t>
        </is>
      </c>
      <c r="M27" s="9" t="inlineStr">
        <is>
          <t>9,02</t>
        </is>
      </c>
      <c r="N27" s="9" t="n"/>
      <c r="O27" s="9" t="n"/>
      <c r="P27" s="9" t="n"/>
      <c r="Q27" s="9" t="n"/>
      <c r="R27" s="9" t="n"/>
      <c r="S27" s="9" t="n"/>
      <c r="T27" s="9" t="inlineStr">
        <is>
          <t>13.03.26</t>
        </is>
      </c>
      <c r="U27" s="9" t="inlineStr">
        <is>
          <t>00:22:00</t>
        </is>
      </c>
      <c r="V27" s="9" t="n"/>
      <c r="W27" s="13" t="n">
        <v>0.93125</v>
      </c>
      <c r="X27" s="41" t="n">
        <v>-101.5</v>
      </c>
      <c r="Y27" s="42" t="n">
        <v>-52.8</v>
      </c>
      <c r="Z27" s="9" t="n"/>
      <c r="AA27" s="9" t="inlineStr">
        <is>
          <t>j</t>
        </is>
      </c>
    </row>
    <row r="28">
      <c r="A28" s="9" t="n">
        <v>27</v>
      </c>
      <c r="B28" s="9" t="inlineStr">
        <is>
          <t>SignalGruppe</t>
        </is>
      </c>
      <c r="C28" s="9" t="inlineStr">
        <is>
          <t>16.03.26</t>
        </is>
      </c>
      <c r="D28" s="9" t="inlineStr">
        <is>
          <t>12:21:00</t>
        </is>
      </c>
      <c r="E28" s="9" t="inlineStr">
        <is>
          <t>cc_Master3</t>
        </is>
      </c>
      <c r="F28" s="9" t="inlineStr">
        <is>
          <t>SOL</t>
        </is>
      </c>
      <c r="G28" s="9" t="n"/>
      <c r="H28" s="9" t="n"/>
      <c r="I28" s="9" t="inlineStr">
        <is>
          <t>0</t>
        </is>
      </c>
      <c r="J28" s="9" t="n"/>
      <c r="K28" s="9" t="n"/>
      <c r="L28" s="9" t="inlineStr">
        <is>
          <t>0</t>
        </is>
      </c>
      <c r="M28" s="9" t="inlineStr">
        <is>
          <t>93,85</t>
        </is>
      </c>
      <c r="N28" s="9" t="n"/>
      <c r="O28" s="9" t="n"/>
      <c r="P28" s="9" t="n"/>
      <c r="Q28" s="9" t="n"/>
      <c r="R28" s="9" t="n"/>
      <c r="S28" s="9" t="n"/>
      <c r="T28" s="9" t="inlineStr">
        <is>
          <t>17.03.26</t>
        </is>
      </c>
      <c r="U28" s="9" t="inlineStr">
        <is>
          <t>06:22:00</t>
        </is>
      </c>
      <c r="V28" s="9" t="n"/>
      <c r="W28" s="13" t="n">
        <v>0.7506944444444444</v>
      </c>
      <c r="X28" s="41" t="n">
        <v>-2.07</v>
      </c>
      <c r="Y28" s="42" t="n">
        <v>-11.85</v>
      </c>
      <c r="Z28" s="9" t="n"/>
      <c r="AA28" s="9" t="inlineStr">
        <is>
          <t>j</t>
        </is>
      </c>
    </row>
    <row r="29">
      <c r="A29" s="8" t="n">
        <v>28</v>
      </c>
      <c r="B29" s="8" t="inlineStr">
        <is>
          <t>Viona</t>
        </is>
      </c>
      <c r="C29" s="8" t="inlineStr">
        <is>
          <t>17.03.26</t>
        </is>
      </c>
      <c r="D29" s="8" t="inlineStr">
        <is>
          <t>17:03:00</t>
        </is>
      </c>
      <c r="E29" s="8" t="inlineStr">
        <is>
          <t>BitGet</t>
        </is>
      </c>
      <c r="F29" s="8" t="inlineStr">
        <is>
          <t>SOL</t>
        </is>
      </c>
      <c r="G29" s="8" t="inlineStr">
        <is>
          <t>s</t>
        </is>
      </c>
      <c r="H29" s="8" t="n"/>
      <c r="I29" s="8" t="inlineStr">
        <is>
          <t>0</t>
        </is>
      </c>
      <c r="J29" s="8" t="inlineStr">
        <is>
          <t>10</t>
        </is>
      </c>
      <c r="K29" s="8" t="n"/>
      <c r="L29" s="8" t="inlineStr">
        <is>
          <t>0</t>
        </is>
      </c>
      <c r="M29" s="8" t="inlineStr">
        <is>
          <t>1,6347</t>
        </is>
      </c>
      <c r="N29" s="8" t="n"/>
      <c r="O29" s="8" t="n"/>
      <c r="P29" s="8" t="n"/>
      <c r="Q29" s="8" t="n"/>
      <c r="R29" s="8" t="n"/>
      <c r="S29" s="8" t="n"/>
      <c r="T29" s="8" t="inlineStr">
        <is>
          <t>18.03.26</t>
        </is>
      </c>
      <c r="U29" s="8" t="inlineStr">
        <is>
          <t>12:06:00</t>
        </is>
      </c>
      <c r="V29" s="8" t="n"/>
      <c r="W29" s="12" t="n">
        <v>0.79375</v>
      </c>
      <c r="X29" s="39" t="n">
        <v>26.05</v>
      </c>
      <c r="Y29" s="40" t="n">
        <v>222.79</v>
      </c>
      <c r="Z29" s="8" t="n"/>
      <c r="AA29" s="8" t="inlineStr">
        <is>
          <t>j</t>
        </is>
      </c>
    </row>
    <row r="30">
      <c r="A30" s="8" t="n">
        <v>29</v>
      </c>
      <c r="B30" s="8" t="inlineStr">
        <is>
          <t>Viona</t>
        </is>
      </c>
      <c r="C30" s="8" t="inlineStr">
        <is>
          <t>20.03.26</t>
        </is>
      </c>
      <c r="D30" s="8" t="inlineStr">
        <is>
          <t>14:00:00</t>
        </is>
      </c>
      <c r="E30" s="8" t="inlineStr">
        <is>
          <t>BitGet</t>
        </is>
      </c>
      <c r="F30" s="8" t="inlineStr">
        <is>
          <t>ORCA</t>
        </is>
      </c>
      <c r="G30" s="8" t="n"/>
      <c r="H30" s="8" t="n"/>
      <c r="I30" s="8" t="inlineStr">
        <is>
          <t>0</t>
        </is>
      </c>
      <c r="J30" s="8" t="inlineStr">
        <is>
          <t>10</t>
        </is>
      </c>
      <c r="K30" s="8" t="n"/>
      <c r="L30" s="8" t="inlineStr">
        <is>
          <t>0</t>
        </is>
      </c>
      <c r="M30" s="8" t="inlineStr">
        <is>
          <t>0,917</t>
        </is>
      </c>
      <c r="N30" s="8" t="n"/>
      <c r="O30" s="8" t="n"/>
      <c r="P30" s="8" t="n"/>
      <c r="Q30" s="8" t="n"/>
      <c r="R30" s="8" t="n"/>
      <c r="S30" s="8" t="n"/>
      <c r="T30" s="8" t="inlineStr">
        <is>
          <t>21.03.26</t>
        </is>
      </c>
      <c r="U30" s="8" t="inlineStr">
        <is>
          <t>23:28:00</t>
        </is>
      </c>
      <c r="V30" s="8" t="n"/>
      <c r="W30" s="12" t="n">
        <v>1.375</v>
      </c>
      <c r="X30" s="39" t="n">
        <v>8.57</v>
      </c>
      <c r="Y30" s="40" t="n">
        <v>62.23</v>
      </c>
      <c r="Z30" s="8" t="n"/>
      <c r="AA30" s="8" t="inlineStr">
        <is>
          <t>j</t>
        </is>
      </c>
    </row>
    <row r="31">
      <c r="A31" s="9" t="n">
        <v>30</v>
      </c>
      <c r="B31" s="9" t="inlineStr">
        <is>
          <t>Cornix</t>
        </is>
      </c>
      <c r="C31" s="9" t="inlineStr">
        <is>
          <t>17.03.26</t>
        </is>
      </c>
      <c r="D31" s="9" t="n"/>
      <c r="E31" s="9" t="inlineStr">
        <is>
          <t>ByBit</t>
        </is>
      </c>
      <c r="F31" s="9" t="inlineStr">
        <is>
          <t>Versch</t>
        </is>
      </c>
      <c r="G31" s="9" t="n"/>
      <c r="H31" s="9" t="inlineStr">
        <is>
          <t>400</t>
        </is>
      </c>
      <c r="I31" s="9" t="inlineStr">
        <is>
          <t>0</t>
        </is>
      </c>
      <c r="J31" s="9" t="n"/>
      <c r="K31" s="9" t="n"/>
      <c r="L31" s="9" t="inlineStr">
        <is>
          <t>0</t>
        </is>
      </c>
      <c r="M31" s="9" t="inlineStr">
        <is>
          <t>385,7</t>
        </is>
      </c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41" t="n">
        <v>-3.75</v>
      </c>
      <c r="Y31" s="42" t="n">
        <v>-14.3</v>
      </c>
      <c r="Z31" s="9" t="n"/>
      <c r="AA31" s="9" t="inlineStr">
        <is>
          <t>j</t>
        </is>
      </c>
    </row>
    <row r="32">
      <c r="A32" s="8" t="n">
        <v>31</v>
      </c>
      <c r="B32" s="8" t="inlineStr">
        <is>
          <t>Cornix</t>
        </is>
      </c>
      <c r="C32" s="8" t="inlineStr">
        <is>
          <t>20.03.26</t>
        </is>
      </c>
      <c r="D32" s="8" t="n"/>
      <c r="E32" s="8" t="inlineStr">
        <is>
          <t>KuCoin</t>
        </is>
      </c>
      <c r="F32" s="8" t="inlineStr">
        <is>
          <t>Versch</t>
        </is>
      </c>
      <c r="G32" s="8" t="n"/>
      <c r="H32" s="8" t="inlineStr">
        <is>
          <t>398</t>
        </is>
      </c>
      <c r="I32" s="8" t="inlineStr">
        <is>
          <t>0</t>
        </is>
      </c>
      <c r="J32" s="8" t="n"/>
      <c r="K32" s="8" t="n"/>
      <c r="L32" s="8" t="inlineStr">
        <is>
          <t>0</t>
        </is>
      </c>
      <c r="M32" s="8" t="inlineStr">
        <is>
          <t>429</t>
        </is>
      </c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39" t="n">
        <v>7.8</v>
      </c>
      <c r="Y32" s="40" t="n">
        <v>30.13</v>
      </c>
      <c r="Z32" s="8" t="n"/>
      <c r="AA32" s="8" t="inlineStr">
        <is>
          <t>j</t>
        </is>
      </c>
    </row>
    <row r="33">
      <c r="A33" s="9" t="n">
        <v>32</v>
      </c>
      <c r="B33" s="9" t="inlineStr">
        <is>
          <t>Cornix</t>
        </is>
      </c>
      <c r="C33" s="9" t="n"/>
      <c r="D33" s="9" t="n"/>
      <c r="E33" s="9" t="inlineStr">
        <is>
          <t>Binance</t>
        </is>
      </c>
      <c r="F33" s="9" t="inlineStr">
        <is>
          <t>Versch</t>
        </is>
      </c>
      <c r="G33" s="9" t="n"/>
      <c r="H33" s="9" t="inlineStr">
        <is>
          <t>394</t>
        </is>
      </c>
      <c r="I33" s="9" t="inlineStr">
        <is>
          <t>0</t>
        </is>
      </c>
      <c r="J33" s="9" t="n"/>
      <c r="K33" s="9" t="n"/>
      <c r="L33" s="9" t="inlineStr">
        <is>
          <t>0</t>
        </is>
      </c>
      <c r="M33" s="9" t="inlineStr">
        <is>
          <t>321</t>
        </is>
      </c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41" t="n">
        <v>-18.53</v>
      </c>
      <c r="Y33" s="42" t="n">
        <v>-126.7</v>
      </c>
      <c r="Z33" s="9" t="n"/>
      <c r="AA33" s="9" t="inlineStr">
        <is>
          <t>j</t>
        </is>
      </c>
    </row>
    <row r="34">
      <c r="A34" s="8" t="n">
        <v>33</v>
      </c>
      <c r="B34" s="8" t="inlineStr">
        <is>
          <t>Viona</t>
        </is>
      </c>
      <c r="C34" s="8" t="inlineStr">
        <is>
          <t>26.03.26</t>
        </is>
      </c>
      <c r="D34" s="8" t="n"/>
      <c r="E34" s="8" t="inlineStr">
        <is>
          <t>BitGet</t>
        </is>
      </c>
      <c r="F34" s="8" t="inlineStr">
        <is>
          <t>BAT</t>
        </is>
      </c>
      <c r="G34" s="8" t="inlineStr">
        <is>
          <t>s</t>
        </is>
      </c>
      <c r="H34" s="8" t="inlineStr">
        <is>
          <t>3000</t>
        </is>
      </c>
      <c r="I34" s="8" t="inlineStr">
        <is>
          <t>750</t>
        </is>
      </c>
      <c r="J34" s="8" t="inlineStr">
        <is>
          <t>9</t>
        </is>
      </c>
      <c r="K34" s="8" t="inlineStr">
        <is>
          <t>25%</t>
        </is>
      </c>
      <c r="L34" s="8" t="inlineStr">
        <is>
          <t>6750</t>
        </is>
      </c>
      <c r="M34" s="8" t="inlineStr">
        <is>
          <t>0,1041</t>
        </is>
      </c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39" t="n">
        <v>23.29</v>
      </c>
      <c r="Y34" s="40" t="n">
        <v>171.8</v>
      </c>
      <c r="Z34" s="8" t="n"/>
      <c r="AA34" s="8" t="inlineStr">
        <is>
          <t>j</t>
        </is>
      </c>
    </row>
    <row r="35">
      <c r="A35" s="8" t="n">
        <v>34</v>
      </c>
      <c r="B35" s="8" t="inlineStr">
        <is>
          <t>Viona</t>
        </is>
      </c>
      <c r="C35" s="8" t="inlineStr">
        <is>
          <t>27.03.26</t>
        </is>
      </c>
      <c r="D35" s="8" t="n"/>
      <c r="E35" s="8" t="inlineStr">
        <is>
          <t>BitGet</t>
        </is>
      </c>
      <c r="F35" s="8" t="inlineStr">
        <is>
          <t>DOGE</t>
        </is>
      </c>
      <c r="G35" s="8" t="inlineStr">
        <is>
          <t>l</t>
        </is>
      </c>
      <c r="H35" s="8" t="inlineStr">
        <is>
          <t>3000</t>
        </is>
      </c>
      <c r="I35" s="8" t="inlineStr">
        <is>
          <t>900</t>
        </is>
      </c>
      <c r="J35" s="8" t="inlineStr">
        <is>
          <t>12</t>
        </is>
      </c>
      <c r="K35" s="8" t="inlineStr">
        <is>
          <t>30%</t>
        </is>
      </c>
      <c r="L35" s="8" t="inlineStr">
        <is>
          <t>10800</t>
        </is>
      </c>
      <c r="M35" s="8" t="inlineStr">
        <is>
          <t>0,09002</t>
        </is>
      </c>
      <c r="N35" s="8" t="n"/>
      <c r="O35" s="8" t="n"/>
      <c r="P35" s="8" t="n"/>
      <c r="Q35" s="8" t="n"/>
      <c r="R35" s="8" t="n"/>
      <c r="S35" s="8" t="n"/>
      <c r="T35" s="8" t="inlineStr">
        <is>
          <t>28.03.26</t>
        </is>
      </c>
      <c r="U35" s="8" t="inlineStr">
        <is>
          <t>12:39:00</t>
        </is>
      </c>
      <c r="V35" s="8" t="n"/>
      <c r="W35" s="12" t="n">
        <v>1.5</v>
      </c>
      <c r="X35" s="39" t="n">
        <v>36.94</v>
      </c>
      <c r="Y35" s="40" t="n">
        <v>327</v>
      </c>
      <c r="Z35" s="8" t="n"/>
      <c r="AA35" s="8" t="inlineStr">
        <is>
          <t>j</t>
        </is>
      </c>
    </row>
    <row r="36">
      <c r="A36" s="9" t="n">
        <v>35</v>
      </c>
      <c r="B36" s="9" t="inlineStr">
        <is>
          <t>CK</t>
        </is>
      </c>
      <c r="C36" s="9" t="inlineStr">
        <is>
          <t>29.03.26</t>
        </is>
      </c>
      <c r="D36" s="9" t="n"/>
      <c r="E36" s="9" t="inlineStr">
        <is>
          <t>CC_Master1</t>
        </is>
      </c>
      <c r="F36" s="9" t="inlineStr">
        <is>
          <t>THX</t>
        </is>
      </c>
      <c r="G36" s="9" t="inlineStr">
        <is>
          <t>l</t>
        </is>
      </c>
      <c r="H36" s="9" t="inlineStr">
        <is>
          <t>3000</t>
        </is>
      </c>
      <c r="I36" s="9" t="inlineStr">
        <is>
          <t>300</t>
        </is>
      </c>
      <c r="J36" s="9" t="inlineStr">
        <is>
          <t>10</t>
        </is>
      </c>
      <c r="K36" s="9" t="inlineStr">
        <is>
          <t>10%</t>
        </is>
      </c>
      <c r="L36" s="9" t="inlineStr">
        <is>
          <t>3000</t>
        </is>
      </c>
      <c r="M36" s="9" t="inlineStr">
        <is>
          <t>0,32157</t>
        </is>
      </c>
      <c r="N36" s="9" t="n"/>
      <c r="O36" s="9" t="n"/>
      <c r="P36" s="9" t="n"/>
      <c r="Q36" s="9" t="n"/>
      <c r="R36" s="9" t="n"/>
      <c r="S36" s="9" t="n"/>
      <c r="T36" s="9" t="inlineStr">
        <is>
          <t>29.03.26</t>
        </is>
      </c>
      <c r="U36" s="9" t="inlineStr">
        <is>
          <t>20:20:00</t>
        </is>
      </c>
      <c r="V36" s="9" t="n"/>
      <c r="W36" s="13" t="n">
        <v>0.8472222222222222</v>
      </c>
      <c r="X36" s="41" t="n">
        <v>-3.04</v>
      </c>
      <c r="Y36" s="42" t="n">
        <v>-4.55</v>
      </c>
      <c r="Z36" s="9" t="n"/>
      <c r="AA36" s="9" t="inlineStr">
        <is>
          <t>j</t>
        </is>
      </c>
    </row>
    <row r="37">
      <c r="A37" s="8" t="n">
        <v>36</v>
      </c>
      <c r="B37" s="8" t="inlineStr">
        <is>
          <t>MarkTrade</t>
        </is>
      </c>
      <c r="C37" s="8" t="inlineStr">
        <is>
          <t>30.03.26</t>
        </is>
      </c>
      <c r="D37" s="8" t="n"/>
      <c r="E37" s="8" t="inlineStr">
        <is>
          <t>BitGet</t>
        </is>
      </c>
      <c r="F37" s="8" t="inlineStr">
        <is>
          <t>ETH</t>
        </is>
      </c>
      <c r="G37" s="8" t="inlineStr">
        <is>
          <t>l</t>
        </is>
      </c>
      <c r="H37" s="8" t="inlineStr">
        <is>
          <t>3000</t>
        </is>
      </c>
      <c r="I37" s="8" t="inlineStr">
        <is>
          <t>480</t>
        </is>
      </c>
      <c r="J37" s="8" t="inlineStr">
        <is>
          <t>20</t>
        </is>
      </c>
      <c r="K37" s="8" t="inlineStr">
        <is>
          <t>16%</t>
        </is>
      </c>
      <c r="L37" s="8" t="inlineStr">
        <is>
          <t>9600</t>
        </is>
      </c>
      <c r="M37" s="8" t="inlineStr">
        <is>
          <t>2071,11</t>
        </is>
      </c>
      <c r="N37" s="8" t="n"/>
      <c r="O37" s="8" t="n"/>
      <c r="P37" s="8" t="n"/>
      <c r="Q37" s="8" t="n"/>
      <c r="R37" s="8" t="n"/>
      <c r="S37" s="8" t="n"/>
      <c r="T37" s="8" t="inlineStr">
        <is>
          <t>30.03.26</t>
        </is>
      </c>
      <c r="U37" s="8" t="inlineStr">
        <is>
          <t>21:32:00</t>
        </is>
      </c>
      <c r="V37" s="8" t="n"/>
      <c r="W37" s="12" t="n">
        <v>0.8972222222222223</v>
      </c>
      <c r="X37" s="39" t="n">
        <v>7.89</v>
      </c>
      <c r="Y37" s="40" t="n">
        <v>105.21</v>
      </c>
      <c r="Z37" s="8" t="n"/>
      <c r="AA37" s="8" t="inlineStr">
        <is>
          <t>j</t>
        </is>
      </c>
    </row>
    <row r="38">
      <c r="A38" s="8" t="n">
        <v>37</v>
      </c>
      <c r="B38" s="8" t="inlineStr">
        <is>
          <t>Viona</t>
        </is>
      </c>
      <c r="C38" s="8" t="inlineStr">
        <is>
          <t>30.03.26</t>
        </is>
      </c>
      <c r="D38" s="8" t="n"/>
      <c r="E38" s="8" t="inlineStr">
        <is>
          <t>BitGet</t>
        </is>
      </c>
      <c r="F38" s="8" t="inlineStr">
        <is>
          <t>XMR</t>
        </is>
      </c>
      <c r="G38" s="8" t="inlineStr">
        <is>
          <t>s</t>
        </is>
      </c>
      <c r="H38" s="8" t="inlineStr">
        <is>
          <t>3000</t>
        </is>
      </c>
      <c r="I38" s="8" t="inlineStr">
        <is>
          <t>900</t>
        </is>
      </c>
      <c r="J38" s="8" t="inlineStr">
        <is>
          <t>10</t>
        </is>
      </c>
      <c r="K38" s="8" t="inlineStr">
        <is>
          <t>30%</t>
        </is>
      </c>
      <c r="L38" s="8" t="inlineStr">
        <is>
          <t>9000</t>
        </is>
      </c>
      <c r="M38" s="8" t="inlineStr">
        <is>
          <t>329,66</t>
        </is>
      </c>
      <c r="N38" s="8" t="n"/>
      <c r="O38" s="8" t="n"/>
      <c r="P38" s="8" t="n"/>
      <c r="Q38" s="8" t="n"/>
      <c r="R38" s="8" t="n"/>
      <c r="S38" s="8" t="n"/>
      <c r="T38" s="8" t="inlineStr">
        <is>
          <t>30.03.26</t>
        </is>
      </c>
      <c r="U38" s="8" t="inlineStr">
        <is>
          <t>15:32:00</t>
        </is>
      </c>
      <c r="V38" s="8" t="n"/>
      <c r="W38" s="12" t="n">
        <v>0.6472222222222223</v>
      </c>
      <c r="X38" s="39" t="n">
        <v>17.59</v>
      </c>
      <c r="Y38" s="40" t="n">
        <v>160.69</v>
      </c>
      <c r="Z38" s="8" t="n"/>
      <c r="AA38" s="8" t="inlineStr">
        <is>
          <t>j</t>
        </is>
      </c>
    </row>
    <row r="39">
      <c r="A39" s="9" t="n">
        <v>38</v>
      </c>
      <c r="B39" s="9" t="inlineStr">
        <is>
          <t>Viona</t>
        </is>
      </c>
      <c r="C39" s="9" t="inlineStr">
        <is>
          <t>30.03.26</t>
        </is>
      </c>
      <c r="D39" s="9" t="n"/>
      <c r="E39" s="9" t="inlineStr">
        <is>
          <t>BitGet</t>
        </is>
      </c>
      <c r="F39" s="9" t="inlineStr">
        <is>
          <t>RUNE</t>
        </is>
      </c>
      <c r="G39" s="9" t="inlineStr">
        <is>
          <t>s</t>
        </is>
      </c>
      <c r="H39" s="9" t="inlineStr">
        <is>
          <t>3000</t>
        </is>
      </c>
      <c r="I39" s="9" t="inlineStr">
        <is>
          <t>660</t>
        </is>
      </c>
      <c r="J39" s="9" t="inlineStr">
        <is>
          <t>10</t>
        </is>
      </c>
      <c r="K39" s="9" t="inlineStr">
        <is>
          <t>22%</t>
        </is>
      </c>
      <c r="L39" s="9" t="inlineStr">
        <is>
          <t>6600</t>
        </is>
      </c>
      <c r="M39" s="9" t="inlineStr">
        <is>
          <t>0,396</t>
        </is>
      </c>
      <c r="N39" s="9" t="n"/>
      <c r="O39" s="9" t="n"/>
      <c r="P39" s="9" t="n"/>
      <c r="Q39" s="9" t="n"/>
      <c r="R39" s="9" t="n"/>
      <c r="S39" s="9" t="n"/>
      <c r="T39" s="9" t="inlineStr">
        <is>
          <t>31.03.26</t>
        </is>
      </c>
      <c r="U39" s="9" t="inlineStr">
        <is>
          <t>07:20:00</t>
        </is>
      </c>
      <c r="V39" s="9" t="n"/>
      <c r="W39" s="13" t="n">
        <v>1.291666666666667</v>
      </c>
      <c r="X39" s="41" t="n">
        <v>-1.29</v>
      </c>
      <c r="Y39" s="42" t="n">
        <v>-18.9</v>
      </c>
      <c r="Z39" s="9" t="n"/>
      <c r="AA39" s="9" t="inlineStr">
        <is>
          <t>j</t>
        </is>
      </c>
    </row>
    <row r="40">
      <c r="A40" s="8" t="n">
        <v>39</v>
      </c>
      <c r="B40" s="8" t="inlineStr">
        <is>
          <t>Viona</t>
        </is>
      </c>
      <c r="C40" s="8" t="inlineStr">
        <is>
          <t>31.03.26</t>
        </is>
      </c>
      <c r="D40" s="8" t="n"/>
      <c r="E40" s="8" t="inlineStr">
        <is>
          <t>BitGet</t>
        </is>
      </c>
      <c r="F40" s="8" t="inlineStr">
        <is>
          <t>DOGE</t>
        </is>
      </c>
      <c r="G40" s="8" t="inlineStr">
        <is>
          <t>l</t>
        </is>
      </c>
      <c r="H40" s="8" t="inlineStr">
        <is>
          <t>3000</t>
        </is>
      </c>
      <c r="I40" s="8" t="inlineStr">
        <is>
          <t>810</t>
        </is>
      </c>
      <c r="J40" s="8" t="inlineStr">
        <is>
          <t>20</t>
        </is>
      </c>
      <c r="K40" s="8" t="inlineStr">
        <is>
          <t>27%</t>
        </is>
      </c>
      <c r="L40" s="8" t="inlineStr">
        <is>
          <t>16200</t>
        </is>
      </c>
      <c r="M40" s="8" t="inlineStr">
        <is>
          <t>0,09041</t>
        </is>
      </c>
      <c r="N40" s="8" t="n"/>
      <c r="O40" s="8" t="n"/>
      <c r="P40" s="8" t="n"/>
      <c r="Q40" s="8" t="n"/>
      <c r="R40" s="8" t="n"/>
      <c r="S40" s="8" t="n"/>
      <c r="T40" s="8" t="inlineStr">
        <is>
          <t>31.03.26</t>
        </is>
      </c>
      <c r="U40" s="8" t="inlineStr">
        <is>
          <t>09:45:00</t>
        </is>
      </c>
      <c r="V40" s="8" t="n"/>
      <c r="W40" s="12" t="n">
        <v>0.40625</v>
      </c>
      <c r="X40" s="39" t="n">
        <v>12.62</v>
      </c>
      <c r="Y40" s="40" t="n">
        <v>101.76</v>
      </c>
      <c r="Z40" s="8" t="n"/>
      <c r="AA40" s="8" t="inlineStr">
        <is>
          <t>j</t>
        </is>
      </c>
    </row>
    <row r="41">
      <c r="A41" s="9" t="n">
        <v>40</v>
      </c>
      <c r="B41" s="9" t="inlineStr">
        <is>
          <t>CK</t>
        </is>
      </c>
      <c r="C41" s="9" t="inlineStr">
        <is>
          <t>31.03.26</t>
        </is>
      </c>
      <c r="D41" s="9" t="n"/>
      <c r="E41" s="9" t="inlineStr">
        <is>
          <t>BitGet</t>
        </is>
      </c>
      <c r="F41" s="9" t="inlineStr">
        <is>
          <t>BAT</t>
        </is>
      </c>
      <c r="G41" s="9" t="inlineStr">
        <is>
          <t>l</t>
        </is>
      </c>
      <c r="H41" s="9" t="inlineStr">
        <is>
          <t>3000</t>
        </is>
      </c>
      <c r="I41" s="9" t="inlineStr">
        <is>
          <t>330</t>
        </is>
      </c>
      <c r="J41" s="9" t="inlineStr">
        <is>
          <t>15</t>
        </is>
      </c>
      <c r="K41" s="9" t="inlineStr">
        <is>
          <t>11%</t>
        </is>
      </c>
      <c r="L41" s="9" t="inlineStr">
        <is>
          <t>4950</t>
        </is>
      </c>
      <c r="M41" s="9" t="inlineStr">
        <is>
          <t>0,0951</t>
        </is>
      </c>
      <c r="N41" s="9" t="n"/>
      <c r="O41" s="9" t="n"/>
      <c r="P41" s="9" t="n"/>
      <c r="Q41" s="9" t="n"/>
      <c r="R41" s="9" t="n"/>
      <c r="S41" s="9" t="n"/>
      <c r="T41" s="9" t="inlineStr">
        <is>
          <t>31.03.26</t>
        </is>
      </c>
      <c r="U41" s="9" t="inlineStr">
        <is>
          <t>10:40:00</t>
        </is>
      </c>
      <c r="V41" s="9" t="n"/>
      <c r="W41" s="13" t="n">
        <v>0.4444444444444444</v>
      </c>
      <c r="X41" s="41" t="n">
        <v>-3.95</v>
      </c>
      <c r="Y41" s="42" t="n">
        <v>-13.16</v>
      </c>
      <c r="Z41" s="9" t="n"/>
      <c r="AA41" s="9" t="inlineStr">
        <is>
          <t>j</t>
        </is>
      </c>
    </row>
    <row r="42">
      <c r="A42" s="8" t="n">
        <v>41</v>
      </c>
      <c r="B42" s="8" t="inlineStr">
        <is>
          <t>Viona</t>
        </is>
      </c>
      <c r="C42" s="8" t="inlineStr">
        <is>
          <t>01.04.26</t>
        </is>
      </c>
      <c r="D42" s="8" t="n"/>
      <c r="E42" s="8" t="inlineStr">
        <is>
          <t>BitGet</t>
        </is>
      </c>
      <c r="F42" s="8" t="inlineStr">
        <is>
          <t>LINK</t>
        </is>
      </c>
      <c r="G42" s="8" t="inlineStr">
        <is>
          <t>s</t>
        </is>
      </c>
      <c r="H42" s="8" t="inlineStr">
        <is>
          <t>3200</t>
        </is>
      </c>
      <c r="I42" s="8" t="inlineStr">
        <is>
          <t>960</t>
        </is>
      </c>
      <c r="J42" s="8" t="inlineStr">
        <is>
          <t>10</t>
        </is>
      </c>
      <c r="K42" s="8" t="inlineStr">
        <is>
          <t>30%</t>
        </is>
      </c>
      <c r="L42" s="8" t="inlineStr">
        <is>
          <t>9600</t>
        </is>
      </c>
      <c r="M42" s="8" t="inlineStr">
        <is>
          <t>8,987</t>
        </is>
      </c>
      <c r="N42" s="8" t="n"/>
      <c r="O42" s="8" t="n"/>
      <c r="P42" s="8" t="n"/>
      <c r="Q42" s="8" t="n"/>
      <c r="R42" s="8" t="n"/>
      <c r="S42" s="8" t="n"/>
      <c r="T42" s="8" t="inlineStr">
        <is>
          <t>01.04.26</t>
        </is>
      </c>
      <c r="U42" s="8" t="inlineStr">
        <is>
          <t>21:19:00</t>
        </is>
      </c>
      <c r="V42" s="8" t="n"/>
      <c r="W42" s="12" t="n">
        <v>0.8881944444444444</v>
      </c>
      <c r="X42" s="39" t="n">
        <v>17.6</v>
      </c>
      <c r="Y42" s="40" t="n">
        <v>171.04</v>
      </c>
      <c r="Z42" s="8" t="n"/>
      <c r="AA42" s="8" t="inlineStr">
        <is>
          <t>j</t>
        </is>
      </c>
    </row>
    <row r="43">
      <c r="A43" s="8" t="n">
        <v>42</v>
      </c>
      <c r="B43" s="8" t="inlineStr">
        <is>
          <t>Viona</t>
        </is>
      </c>
      <c r="C43" s="11" t="n">
        <v>46114</v>
      </c>
      <c r="D43" s="8" t="inlineStr">
        <is>
          <t>12:32</t>
        </is>
      </c>
      <c r="E43" s="8" t="inlineStr">
        <is>
          <t>Bitget</t>
        </is>
      </c>
      <c r="F43" s="8" t="inlineStr">
        <is>
          <t>LTC</t>
        </is>
      </c>
      <c r="G43" s="8" t="inlineStr">
        <is>
          <t>l</t>
        </is>
      </c>
      <c r="H43" s="8" t="inlineStr">
        <is>
          <t>3100</t>
        </is>
      </c>
      <c r="I43" s="8" t="inlineStr">
        <is>
          <t>1415</t>
        </is>
      </c>
      <c r="J43" s="8" t="inlineStr">
        <is>
          <t>11</t>
        </is>
      </c>
      <c r="K43" s="8" t="inlineStr">
        <is>
          <t>35%</t>
        </is>
      </c>
      <c r="L43" s="8" t="n"/>
      <c r="M43" s="8" t="inlineStr">
        <is>
          <t>52,09</t>
        </is>
      </c>
      <c r="N43" s="8" t="n"/>
      <c r="O43" s="8" t="n"/>
      <c r="P43" s="8" t="n"/>
      <c r="Q43" s="8" t="n"/>
      <c r="R43" s="8" t="n"/>
      <c r="S43" s="8" t="n"/>
      <c r="T43" s="11" t="n">
        <v>46114</v>
      </c>
      <c r="U43" s="8" t="inlineStr">
        <is>
          <t>00:23</t>
        </is>
      </c>
      <c r="V43" s="8" t="n"/>
      <c r="W43" s="12" t="n">
        <v>0</v>
      </c>
      <c r="X43" s="39" t="n">
        <v>8.25</v>
      </c>
      <c r="Y43" s="40" t="n">
        <v>117.16</v>
      </c>
      <c r="Z43" s="8" t="n"/>
      <c r="AA43" s="8" t="inlineStr">
        <is>
          <t>j</t>
        </is>
      </c>
    </row>
    <row r="44">
      <c r="A44" s="8" t="n">
        <v>43</v>
      </c>
      <c r="B44" s="8" t="inlineStr">
        <is>
          <t>CK</t>
        </is>
      </c>
      <c r="C44" s="11" t="n">
        <v>46115</v>
      </c>
      <c r="D44" s="8" t="n"/>
      <c r="E44" s="8" t="inlineStr">
        <is>
          <t>BitGet</t>
        </is>
      </c>
      <c r="F44" s="8" t="inlineStr">
        <is>
          <t>TAO</t>
        </is>
      </c>
      <c r="G44" s="8" t="inlineStr">
        <is>
          <t>l</t>
        </is>
      </c>
      <c r="H44" s="8" t="inlineStr">
        <is>
          <t>830</t>
        </is>
      </c>
      <c r="I44" s="8" t="inlineStr">
        <is>
          <t>750</t>
        </is>
      </c>
      <c r="J44" s="8" t="inlineStr">
        <is>
          <t>10</t>
        </is>
      </c>
      <c r="K44" s="8" t="inlineStr">
        <is>
          <t>80%</t>
        </is>
      </c>
      <c r="L44" s="8" t="inlineStr">
        <is>
          <t>7533</t>
        </is>
      </c>
      <c r="M44" s="8" t="inlineStr">
        <is>
          <t>305,23</t>
        </is>
      </c>
      <c r="N44" s="8" t="n"/>
      <c r="O44" s="8" t="n"/>
      <c r="P44" s="8" t="n"/>
      <c r="Q44" s="8" t="n"/>
      <c r="R44" s="8" t="n"/>
      <c r="S44" s="8" t="n"/>
      <c r="T44" s="11" t="n">
        <v>46117</v>
      </c>
      <c r="U44" s="8" t="inlineStr">
        <is>
          <t>11:26</t>
        </is>
      </c>
      <c r="V44" s="8" t="n"/>
      <c r="W44" s="12" t="n"/>
      <c r="X44" s="39" t="n">
        <v>21.04</v>
      </c>
      <c r="Y44" s="40" t="n">
        <v>166.82</v>
      </c>
      <c r="Z44" s="8" t="n"/>
      <c r="AA44" s="8" t="inlineStr">
        <is>
          <t>j</t>
        </is>
      </c>
    </row>
    <row r="45">
      <c r="A45" s="9" t="n">
        <v>44</v>
      </c>
      <c r="B45" s="9" t="inlineStr">
        <is>
          <t>CK</t>
        </is>
      </c>
      <c r="C45" s="15" t="n">
        <v>46118</v>
      </c>
      <c r="D45" s="9" t="inlineStr">
        <is>
          <t>18:52</t>
        </is>
      </c>
      <c r="E45" s="9" t="inlineStr">
        <is>
          <t>Phemex</t>
        </is>
      </c>
      <c r="F45" s="9" t="inlineStr">
        <is>
          <t>TAO</t>
        </is>
      </c>
      <c r="G45" s="9" t="inlineStr">
        <is>
          <t>s</t>
        </is>
      </c>
      <c r="H45" s="9" t="inlineStr">
        <is>
          <t>1004</t>
        </is>
      </c>
      <c r="I45" s="9" t="inlineStr">
        <is>
          <t>305</t>
        </is>
      </c>
      <c r="J45" s="9" t="inlineStr">
        <is>
          <t>10</t>
        </is>
      </c>
      <c r="K45" s="9" t="inlineStr">
        <is>
          <t>30%</t>
        </is>
      </c>
      <c r="L45" s="9" t="inlineStr">
        <is>
          <t>3000</t>
        </is>
      </c>
      <c r="M45" s="9" t="inlineStr">
        <is>
          <t>305.21</t>
        </is>
      </c>
      <c r="N45" s="9" t="n"/>
      <c r="O45" s="9" t="n"/>
      <c r="P45" s="9" t="n"/>
      <c r="Q45" s="9" t="n"/>
      <c r="R45" s="9" t="n"/>
      <c r="S45" s="9" t="n"/>
      <c r="T45" s="15" t="n">
        <v>46117</v>
      </c>
      <c r="U45" s="9" t="inlineStr">
        <is>
          <t>19:01</t>
        </is>
      </c>
      <c r="V45" s="9" t="n"/>
      <c r="W45" s="13" t="n"/>
      <c r="X45" s="41" t="n">
        <v>-5.86</v>
      </c>
      <c r="Y45" s="42" t="n">
        <v>-13.82</v>
      </c>
      <c r="Z45" s="9" t="n"/>
      <c r="AA45" s="9" t="inlineStr">
        <is>
          <t>j</t>
        </is>
      </c>
    </row>
    <row r="46">
      <c r="A46" s="8" t="n">
        <v>45</v>
      </c>
      <c r="B46" s="8" t="inlineStr">
        <is>
          <t>CK</t>
        </is>
      </c>
      <c r="C46" s="8" t="inlineStr">
        <is>
          <t>5-4-26</t>
        </is>
      </c>
      <c r="D46" s="8" t="inlineStr">
        <is>
          <t>19:25</t>
        </is>
      </c>
      <c r="E46" s="8" t="inlineStr">
        <is>
          <t>Phemex</t>
        </is>
      </c>
      <c r="F46" s="8" t="inlineStr">
        <is>
          <t>TAO</t>
        </is>
      </c>
      <c r="G46" s="8" t="inlineStr">
        <is>
          <t>s</t>
        </is>
      </c>
      <c r="H46" s="8" t="inlineStr">
        <is>
          <t>890</t>
        </is>
      </c>
      <c r="I46" s="8" t="inlineStr">
        <is>
          <t>880</t>
        </is>
      </c>
      <c r="J46" s="8" t="inlineStr">
        <is>
          <t>10</t>
        </is>
      </c>
      <c r="K46" s="8" t="inlineStr">
        <is>
          <t>30%</t>
        </is>
      </c>
      <c r="L46" s="8" t="inlineStr">
        <is>
          <t>8644</t>
        </is>
      </c>
      <c r="M46" s="8" t="inlineStr">
        <is>
          <t>313,99</t>
        </is>
      </c>
      <c r="N46" s="8" t="n"/>
      <c r="O46" s="8" t="n"/>
      <c r="P46" s="8" t="n"/>
      <c r="Q46" s="8" t="n"/>
      <c r="R46" s="8" t="n"/>
      <c r="S46" s="8" t="n"/>
      <c r="T46" s="8" t="inlineStr">
        <is>
          <t>6-5-26</t>
        </is>
      </c>
      <c r="U46" s="8" t="inlineStr">
        <is>
          <t>19:03</t>
        </is>
      </c>
      <c r="V46" s="8" t="n"/>
      <c r="W46" s="12" t="n">
        <v>31</v>
      </c>
      <c r="X46" s="39" t="n">
        <v>3.41</v>
      </c>
      <c r="Y46" s="40" t="n">
        <v>38.52</v>
      </c>
      <c r="Z46" s="8" t="n"/>
      <c r="AA46" s="8" t="inlineStr">
        <is>
          <t>j</t>
        </is>
      </c>
    </row>
    <row r="47">
      <c r="A47" s="8" t="n">
        <v>46</v>
      </c>
      <c r="B47" s="8" t="inlineStr">
        <is>
          <t>Viona</t>
        </is>
      </c>
      <c r="C47" s="8" t="inlineStr">
        <is>
          <t>6-4-26</t>
        </is>
      </c>
      <c r="D47" s="8" t="inlineStr">
        <is>
          <t>12:05</t>
        </is>
      </c>
      <c r="E47" s="8" t="inlineStr">
        <is>
          <t>BitGet</t>
        </is>
      </c>
      <c r="F47" s="8" t="inlineStr">
        <is>
          <t>LTC</t>
        </is>
      </c>
      <c r="G47" s="8" t="inlineStr">
        <is>
          <t>s</t>
        </is>
      </c>
      <c r="H47" s="8" t="inlineStr">
        <is>
          <t>4200</t>
        </is>
      </c>
      <c r="I47" s="8" t="inlineStr">
        <is>
          <t>1200</t>
        </is>
      </c>
      <c r="J47" s="8" t="inlineStr">
        <is>
          <t>10</t>
        </is>
      </c>
      <c r="K47" s="8" t="inlineStr">
        <is>
          <t>30%</t>
        </is>
      </c>
      <c r="L47" s="8" t="inlineStr">
        <is>
          <t>12080</t>
        </is>
      </c>
      <c r="M47" s="8" t="inlineStr">
        <is>
          <t>53,56</t>
        </is>
      </c>
      <c r="N47" s="8" t="n"/>
      <c r="O47" s="8" t="n"/>
      <c r="P47" s="8" t="n"/>
      <c r="Q47" s="8" t="n"/>
      <c r="R47" s="8" t="n"/>
      <c r="S47" s="8" t="n"/>
      <c r="T47" s="11" t="n">
        <v>46118</v>
      </c>
      <c r="U47" s="8" t="inlineStr">
        <is>
          <t>19:10</t>
        </is>
      </c>
      <c r="V47" s="8" t="n"/>
      <c r="W47" s="12" t="n">
        <v>30</v>
      </c>
      <c r="X47" s="39" t="n">
        <v>9.630000000000001</v>
      </c>
      <c r="Y47" s="40" t="n">
        <v>117.74</v>
      </c>
      <c r="Z47" s="8" t="n"/>
      <c r="AA47" s="8" t="inlineStr">
        <is>
          <t>j</t>
        </is>
      </c>
    </row>
    <row r="48">
      <c r="A48" s="8" t="n">
        <v>47</v>
      </c>
      <c r="B48" s="8" t="inlineStr">
        <is>
          <t>Viona</t>
        </is>
      </c>
      <c r="C48" s="8" t="inlineStr">
        <is>
          <t>7-4-26</t>
        </is>
      </c>
      <c r="D48" s="8" t="inlineStr">
        <is>
          <t>06:47</t>
        </is>
      </c>
      <c r="E48" s="8" t="inlineStr">
        <is>
          <t>BitGet</t>
        </is>
      </c>
      <c r="F48" s="8" t="inlineStr">
        <is>
          <t>APT</t>
        </is>
      </c>
      <c r="G48" s="8" t="inlineStr">
        <is>
          <t>l</t>
        </is>
      </c>
      <c r="H48" s="8" t="inlineStr">
        <is>
          <t>4200</t>
        </is>
      </c>
      <c r="I48" s="8" t="inlineStr">
        <is>
          <t>1050</t>
        </is>
      </c>
      <c r="J48" s="8" t="inlineStr">
        <is>
          <t>10</t>
        </is>
      </c>
      <c r="K48" s="8" t="inlineStr">
        <is>
          <t>25%</t>
        </is>
      </c>
      <c r="L48" s="8" t="inlineStr">
        <is>
          <t>10679</t>
        </is>
      </c>
      <c r="M48" s="8" t="inlineStr">
        <is>
          <t>0,833</t>
        </is>
      </c>
      <c r="N48" s="8" t="n"/>
      <c r="O48" s="8" t="n"/>
      <c r="P48" s="8" t="n"/>
      <c r="Q48" s="8" t="n"/>
      <c r="R48" s="8" t="n"/>
      <c r="S48" s="8" t="n"/>
      <c r="T48" s="8" t="inlineStr">
        <is>
          <t>7-4-26</t>
        </is>
      </c>
      <c r="U48" s="8" t="inlineStr">
        <is>
          <t>18:03</t>
        </is>
      </c>
      <c r="V48" s="8" t="n"/>
      <c r="W48" s="12" t="n">
        <v>0</v>
      </c>
      <c r="X48" s="39" t="n">
        <v>18.65</v>
      </c>
      <c r="Y48" s="40" t="n">
        <v>195.37</v>
      </c>
      <c r="Z48" s="8" t="n"/>
      <c r="AA48" s="8" t="inlineStr">
        <is>
          <t>j</t>
        </is>
      </c>
    </row>
    <row r="49">
      <c r="A49" s="8" t="n">
        <v>48</v>
      </c>
      <c r="B49" s="8" t="inlineStr">
        <is>
          <t>Viona</t>
        </is>
      </c>
      <c r="C49" s="8" t="inlineStr">
        <is>
          <t>8-4-26</t>
        </is>
      </c>
      <c r="D49" s="8" t="inlineStr">
        <is>
          <t>08:28</t>
        </is>
      </c>
      <c r="E49" s="8" t="inlineStr">
        <is>
          <t>BitGet</t>
        </is>
      </c>
      <c r="F49" s="8" t="inlineStr">
        <is>
          <t>BAT</t>
        </is>
      </c>
      <c r="G49" s="8" t="inlineStr">
        <is>
          <t>s</t>
        </is>
      </c>
      <c r="H49" s="8" t="inlineStr">
        <is>
          <t>4200</t>
        </is>
      </c>
      <c r="I49" s="8" t="inlineStr">
        <is>
          <t>750</t>
        </is>
      </c>
      <c r="J49" s="8" t="inlineStr">
        <is>
          <t>12</t>
        </is>
      </c>
      <c r="K49" s="8" t="inlineStr">
        <is>
          <t>20%</t>
        </is>
      </c>
      <c r="L49" s="8" t="inlineStr">
        <is>
          <t>8602</t>
        </is>
      </c>
      <c r="M49" s="8" t="inlineStr">
        <is>
          <t>0,1</t>
        </is>
      </c>
      <c r="N49" s="8" t="n"/>
      <c r="O49" s="8" t="n"/>
      <c r="P49" s="8" t="n"/>
      <c r="Q49" s="8" t="n"/>
      <c r="R49" s="8" t="n"/>
      <c r="S49" s="8" t="n"/>
      <c r="T49" s="8" t="inlineStr">
        <is>
          <t>8-4-26</t>
        </is>
      </c>
      <c r="U49" s="8" t="inlineStr">
        <is>
          <t>21:44</t>
        </is>
      </c>
      <c r="V49" s="8" t="n"/>
      <c r="W49" s="12" t="n">
        <v>0</v>
      </c>
      <c r="X49" s="39" t="n">
        <v>14.64</v>
      </c>
      <c r="Y49" s="40" t="n">
        <v>106.58</v>
      </c>
      <c r="Z49" s="8" t="n"/>
      <c r="AA49" s="8" t="inlineStr">
        <is>
          <t>j</t>
        </is>
      </c>
    </row>
    <row r="50">
      <c r="A50" s="8" t="n">
        <v>49</v>
      </c>
      <c r="B50" s="8" t="inlineStr">
        <is>
          <t>Viona</t>
        </is>
      </c>
      <c r="C50" s="8" t="inlineStr">
        <is>
          <t>9-4-26</t>
        </is>
      </c>
      <c r="D50" s="8" t="inlineStr">
        <is>
          <t>12:15</t>
        </is>
      </c>
      <c r="E50" s="8" t="inlineStr">
        <is>
          <t>BitGet</t>
        </is>
      </c>
      <c r="F50" s="8" t="inlineStr">
        <is>
          <t>LPT</t>
        </is>
      </c>
      <c r="G50" s="8" t="inlineStr">
        <is>
          <t>l</t>
        </is>
      </c>
      <c r="H50" s="8" t="n"/>
      <c r="I50" s="8" t="inlineStr">
        <is>
          <t>950</t>
        </is>
      </c>
      <c r="J50" s="8" t="inlineStr">
        <is>
          <t>10</t>
        </is>
      </c>
      <c r="K50" s="8" t="inlineStr">
        <is>
          <t>25%</t>
        </is>
      </c>
      <c r="L50" s="8" t="inlineStr">
        <is>
          <t>9456</t>
        </is>
      </c>
      <c r="M50" s="8" t="inlineStr">
        <is>
          <t>2,024</t>
        </is>
      </c>
      <c r="N50" s="8" t="n"/>
      <c r="O50" s="8" t="n"/>
      <c r="P50" s="8" t="n"/>
      <c r="Q50" s="8" t="n"/>
      <c r="R50" s="8" t="n"/>
      <c r="S50" s="8" t="n"/>
      <c r="T50" s="8" t="inlineStr">
        <is>
          <t>10-4-26</t>
        </is>
      </c>
      <c r="U50" s="8" t="inlineStr">
        <is>
          <t>09:18</t>
        </is>
      </c>
      <c r="V50" s="8" t="n"/>
      <c r="W50" s="12" t="n">
        <v>1</v>
      </c>
      <c r="X50" s="39" t="n">
        <v>15.45</v>
      </c>
      <c r="Y50" s="40" t="n">
        <v>143.73</v>
      </c>
      <c r="Z50" s="8" t="n"/>
      <c r="AA50" s="8" t="inlineStr">
        <is>
          <t>j</t>
        </is>
      </c>
    </row>
    <row r="51">
      <c r="A51" s="8" t="n">
        <v>50</v>
      </c>
      <c r="B51" s="8" t="inlineStr">
        <is>
          <t>Viona</t>
        </is>
      </c>
      <c r="C51" s="8" t="inlineStr">
        <is>
          <t>10-4-26</t>
        </is>
      </c>
      <c r="D51" s="8" t="inlineStr">
        <is>
          <t>12:05</t>
        </is>
      </c>
      <c r="E51" s="8" t="inlineStr">
        <is>
          <t>BitGet</t>
        </is>
      </c>
      <c r="F51" s="8" t="inlineStr">
        <is>
          <t>XMR</t>
        </is>
      </c>
      <c r="G51" s="8" t="inlineStr">
        <is>
          <t>s</t>
        </is>
      </c>
      <c r="H51" s="8" t="n"/>
      <c r="I51" s="8" t="inlineStr">
        <is>
          <t>1150</t>
        </is>
      </c>
      <c r="J51" s="8" t="inlineStr">
        <is>
          <t>11</t>
        </is>
      </c>
      <c r="K51" s="8" t="inlineStr">
        <is>
          <t>30%</t>
        </is>
      </c>
      <c r="L51" s="8" t="inlineStr">
        <is>
          <t>12346</t>
        </is>
      </c>
      <c r="M51" s="8" t="inlineStr">
        <is>
          <t>342,13</t>
        </is>
      </c>
      <c r="N51" s="8" t="n"/>
      <c r="O51" s="8" t="n"/>
      <c r="P51" s="8" t="n"/>
      <c r="Q51" s="8" t="n"/>
      <c r="R51" s="8" t="n"/>
      <c r="S51" s="8" t="n"/>
      <c r="T51" s="8" t="inlineStr">
        <is>
          <t>11-4-26</t>
        </is>
      </c>
      <c r="U51" s="8" t="inlineStr">
        <is>
          <t>06:42</t>
        </is>
      </c>
      <c r="V51" s="8" t="n"/>
      <c r="W51" s="12" t="n">
        <v>1</v>
      </c>
      <c r="X51" s="39" t="n">
        <v>11.61</v>
      </c>
      <c r="Y51" s="40" t="n">
        <v>131.93</v>
      </c>
      <c r="Z51" s="8" t="n"/>
      <c r="AA51" s="8" t="inlineStr">
        <is>
          <t>j</t>
        </is>
      </c>
    </row>
    <row r="52">
      <c r="A52" s="8" t="n">
        <v>51</v>
      </c>
      <c r="B52" s="8" t="inlineStr">
        <is>
          <t>CK</t>
        </is>
      </c>
      <c r="C52" s="8" t="inlineStr">
        <is>
          <t>8-4-26</t>
        </is>
      </c>
      <c r="D52" s="8" t="inlineStr">
        <is>
          <t>08:10</t>
        </is>
      </c>
      <c r="E52" s="8" t="inlineStr">
        <is>
          <t>Phemex</t>
        </is>
      </c>
      <c r="F52" s="8" t="inlineStr">
        <is>
          <t>AVAX</t>
        </is>
      </c>
      <c r="G52" s="8" t="inlineStr">
        <is>
          <t>s</t>
        </is>
      </c>
      <c r="H52" s="8" t="inlineStr">
        <is>
          <t>1000</t>
        </is>
      </c>
      <c r="I52" s="8" t="inlineStr">
        <is>
          <t>200</t>
        </is>
      </c>
      <c r="J52" s="8" t="inlineStr">
        <is>
          <t>15</t>
        </is>
      </c>
      <c r="K52" s="8" t="inlineStr">
        <is>
          <t>20%</t>
        </is>
      </c>
      <c r="L52" s="8" t="inlineStr">
        <is>
          <t>3047</t>
        </is>
      </c>
      <c r="M52" s="8" t="inlineStr">
        <is>
          <t>9,273</t>
        </is>
      </c>
      <c r="N52" s="8" t="n"/>
      <c r="O52" s="8" t="n"/>
      <c r="P52" s="8" t="n"/>
      <c r="Q52" s="8" t="n"/>
      <c r="R52" s="8" t="n"/>
      <c r="S52" s="8" t="n"/>
      <c r="T52" s="8" t="inlineStr">
        <is>
          <t>8-4-26</t>
        </is>
      </c>
      <c r="U52" s="8" t="inlineStr">
        <is>
          <t>21:44</t>
        </is>
      </c>
      <c r="V52" s="8" t="n"/>
      <c r="W52" s="12" t="n">
        <v>0</v>
      </c>
      <c r="X52" s="39" t="n">
        <v>49.29</v>
      </c>
      <c r="Y52" s="40" t="n">
        <v>103.14</v>
      </c>
      <c r="Z52" s="8" t="n"/>
      <c r="AA52" s="8" t="inlineStr">
        <is>
          <t>j</t>
        </is>
      </c>
    </row>
    <row r="53">
      <c r="A53" s="8" t="n">
        <v>52</v>
      </c>
      <c r="B53" s="8" t="inlineStr">
        <is>
          <t>MarkTrade</t>
        </is>
      </c>
      <c r="C53" s="8" t="inlineStr">
        <is>
          <t>9-4-26</t>
        </is>
      </c>
      <c r="D53" s="8" t="inlineStr">
        <is>
          <t>08:46</t>
        </is>
      </c>
      <c r="E53" s="8" t="inlineStr">
        <is>
          <t>Phemex</t>
        </is>
      </c>
      <c r="F53" s="8" t="inlineStr">
        <is>
          <t>BTC</t>
        </is>
      </c>
      <c r="G53" s="8" t="inlineStr">
        <is>
          <t>s</t>
        </is>
      </c>
      <c r="H53" s="8" t="inlineStr">
        <is>
          <t>1000</t>
        </is>
      </c>
      <c r="I53" s="8" t="inlineStr">
        <is>
          <t>370</t>
        </is>
      </c>
      <c r="J53" s="8" t="inlineStr">
        <is>
          <t>50</t>
        </is>
      </c>
      <c r="K53" s="8" t="inlineStr">
        <is>
          <t>40%</t>
        </is>
      </c>
      <c r="L53" s="8" t="inlineStr">
        <is>
          <t>18578</t>
        </is>
      </c>
      <c r="M53" s="8" t="inlineStr">
        <is>
          <t>71182,1</t>
        </is>
      </c>
      <c r="N53" s="8" t="n"/>
      <c r="O53" s="8" t="n"/>
      <c r="P53" s="8" t="n"/>
      <c r="Q53" s="8" t="n"/>
      <c r="R53" s="8" t="n"/>
      <c r="S53" s="8" t="n"/>
      <c r="T53" s="8" t="inlineStr">
        <is>
          <t>9-4-26</t>
        </is>
      </c>
      <c r="U53" s="8" t="inlineStr">
        <is>
          <t>09:49</t>
        </is>
      </c>
      <c r="V53" s="8" t="n"/>
      <c r="W53" s="12" t="n">
        <v>0</v>
      </c>
      <c r="X53" s="39" t="n">
        <v>21.23</v>
      </c>
      <c r="Y53" s="40" t="n">
        <v>101.13</v>
      </c>
      <c r="Z53" s="8" t="n"/>
      <c r="AA53" s="8" t="inlineStr">
        <is>
          <t>j</t>
        </is>
      </c>
    </row>
    <row r="54">
      <c r="A54" s="8" t="n">
        <v>53</v>
      </c>
      <c r="B54" s="8" t="inlineStr">
        <is>
          <t>CK</t>
        </is>
      </c>
      <c r="C54" s="8" t="inlineStr">
        <is>
          <t>10-4-26</t>
        </is>
      </c>
      <c r="D54" s="8" t="inlineStr">
        <is>
          <t>10:16</t>
        </is>
      </c>
      <c r="E54" s="8" t="inlineStr">
        <is>
          <t>Phemex</t>
        </is>
      </c>
      <c r="F54" s="8" t="inlineStr">
        <is>
          <t>DOGE</t>
        </is>
      </c>
      <c r="G54" s="8" t="inlineStr">
        <is>
          <t>l</t>
        </is>
      </c>
      <c r="H54" s="8" t="inlineStr">
        <is>
          <t>1000</t>
        </is>
      </c>
      <c r="I54" s="8" t="inlineStr">
        <is>
          <t>265</t>
        </is>
      </c>
      <c r="J54" s="8" t="inlineStr">
        <is>
          <t>12</t>
        </is>
      </c>
      <c r="K54" s="8" t="inlineStr">
        <is>
          <t>25%</t>
        </is>
      </c>
      <c r="L54" s="8" t="inlineStr">
        <is>
          <t>3175</t>
        </is>
      </c>
      <c r="M54" s="8" t="inlineStr">
        <is>
          <t>0,0933</t>
        </is>
      </c>
      <c r="N54" s="8" t="n"/>
      <c r="O54" s="8" t="n"/>
      <c r="P54" s="8" t="n"/>
      <c r="Q54" s="8" t="n"/>
      <c r="R54" s="8" t="n"/>
      <c r="S54" s="8" t="n"/>
      <c r="T54" s="8" t="inlineStr">
        <is>
          <t>10-4-26</t>
        </is>
      </c>
      <c r="U54" s="8" t="inlineStr">
        <is>
          <t>18:37</t>
        </is>
      </c>
      <c r="V54" s="8" t="n"/>
      <c r="W54" s="12" t="n">
        <v>0</v>
      </c>
      <c r="X54" s="39" t="n">
        <v>5.54</v>
      </c>
      <c r="Y54" s="40" t="n">
        <v>18.8</v>
      </c>
      <c r="Z54" s="8" t="n"/>
      <c r="AA54" s="8" t="inlineStr">
        <is>
          <t>j</t>
        </is>
      </c>
    </row>
    <row r="55">
      <c r="A55" t="n">
        <v>54</v>
      </c>
      <c r="B55" t="inlineStr">
        <is>
          <t>Viona</t>
        </is>
      </c>
      <c r="C55" t="inlineStr">
        <is>
          <t>13-4-26</t>
        </is>
      </c>
      <c r="D55" t="inlineStr">
        <is>
          <t>12:53</t>
        </is>
      </c>
      <c r="E55" t="inlineStr">
        <is>
          <t>BitGet</t>
        </is>
      </c>
      <c r="F55" t="inlineStr">
        <is>
          <t>JASMY</t>
        </is>
      </c>
      <c r="G55" t="inlineStr">
        <is>
          <t>l</t>
        </is>
      </c>
      <c r="H55" t="n">
        <v>18000</v>
      </c>
      <c r="I55" s="35" t="n">
        <v>4555.24</v>
      </c>
      <c r="J55" t="n">
        <v>10</v>
      </c>
      <c r="K55" t="inlineStr">
        <is>
          <t>25%</t>
        </is>
      </c>
      <c r="L55" s="35" t="n">
        <v>45552.44</v>
      </c>
      <c r="M55" s="35" t="n">
        <v>0.005298</v>
      </c>
      <c r="P55" s="35" t="n">
        <v>0.005391</v>
      </c>
      <c r="S55" s="35" t="n">
        <v>0.004997</v>
      </c>
      <c r="T55" t="inlineStr">
        <is>
          <t>13-4-26</t>
        </is>
      </c>
      <c r="U55" t="inlineStr">
        <is>
          <t>18:28</t>
        </is>
      </c>
      <c r="V55" s="35" t="n">
        <v>0.005391</v>
      </c>
      <c r="W55" s="14" t="n">
        <v>0.2326388888888889</v>
      </c>
      <c r="X55" s="43" t="n">
        <v>16.94</v>
      </c>
      <c r="Y55" s="44" t="n">
        <v>758.26</v>
      </c>
      <c r="AA55" t="inlineStr">
        <is>
          <t>j</t>
        </is>
      </c>
    </row>
    <row r="56">
      <c r="A56" t="n">
        <v>55</v>
      </c>
      <c r="B56" t="inlineStr">
        <is>
          <t>Viona</t>
        </is>
      </c>
      <c r="C56" t="inlineStr">
        <is>
          <t>14-4-26</t>
        </is>
      </c>
      <c r="D56" t="inlineStr">
        <is>
          <t>06:21</t>
        </is>
      </c>
      <c r="E56" t="inlineStr">
        <is>
          <t>BitGet</t>
        </is>
      </c>
      <c r="F56" t="inlineStr">
        <is>
          <t>BTC</t>
        </is>
      </c>
      <c r="G56" t="inlineStr">
        <is>
          <t>s</t>
        </is>
      </c>
      <c r="H56" t="n">
        <v>18000</v>
      </c>
      <c r="I56" s="35" t="n">
        <v>17620.75</v>
      </c>
      <c r="J56" t="n">
        <v>25</v>
      </c>
      <c r="K56" t="inlineStr">
        <is>
          <t>97.9%</t>
        </is>
      </c>
      <c r="L56" s="35" t="n">
        <v>440518.75</v>
      </c>
      <c r="M56" s="35" t="n">
        <v>75032.39999999999</v>
      </c>
      <c r="T56" t="inlineStr">
        <is>
          <t>14-4-26</t>
        </is>
      </c>
      <c r="U56" t="inlineStr">
        <is>
          <t>11:05</t>
        </is>
      </c>
      <c r="V56" s="35" t="n">
        <v>74856.10000000001</v>
      </c>
      <c r="W56" s="14" t="n">
        <v>0.1972222222222222</v>
      </c>
      <c r="X56" s="43" t="n">
        <v>3.7</v>
      </c>
      <c r="Y56" s="44" t="n">
        <v>651.97</v>
      </c>
      <c r="AA56" t="inlineStr">
        <is>
          <t>j</t>
        </is>
      </c>
    </row>
    <row r="57">
      <c r="A57" t="n">
        <v>56</v>
      </c>
      <c r="B57" t="inlineStr">
        <is>
          <t>CK ClaudeBot</t>
        </is>
      </c>
      <c r="C57" t="inlineStr">
        <is>
          <t>15-4-26</t>
        </is>
      </c>
      <c r="D57" t="inlineStr">
        <is>
          <t>07:20</t>
        </is>
      </c>
      <c r="E57" t="inlineStr">
        <is>
          <t>Phemex</t>
        </is>
      </c>
      <c r="F57" t="inlineStr">
        <is>
          <t>XLM</t>
        </is>
      </c>
      <c r="G57" t="inlineStr">
        <is>
          <t>s</t>
        </is>
      </c>
      <c r="I57" s="35" t="n">
        <v>356.2</v>
      </c>
      <c r="J57" t="n">
        <v>12</v>
      </c>
      <c r="L57" s="35" t="n">
        <v>4274.4</v>
      </c>
      <c r="M57" s="35" t="n">
        <v>0.15641</v>
      </c>
      <c r="P57" s="35" t="n">
        <v>0.153</v>
      </c>
      <c r="Q57" s="35" t="n">
        <v>0.15</v>
      </c>
      <c r="S57" s="35" t="n">
        <v>0.1605</v>
      </c>
      <c r="T57" t="inlineStr">
        <is>
          <t>15-4-26</t>
        </is>
      </c>
      <c r="U57" t="inlineStr">
        <is>
          <t>19:51</t>
        </is>
      </c>
      <c r="V57" s="35" t="n">
        <v>0.15756</v>
      </c>
      <c r="W57" s="31" t="n">
        <v>0.5215277777777778</v>
      </c>
      <c r="X57" s="43" t="n">
        <v>-10.14</v>
      </c>
      <c r="Y57" s="44" t="n">
        <v>-36.12</v>
      </c>
      <c r="Z57" s="44" t="n">
        <v>-42.03</v>
      </c>
      <c r="AA57" t="inlineStr">
        <is>
          <t>j</t>
        </is>
      </c>
    </row>
    <row r="58">
      <c r="A58" t="n">
        <v>57</v>
      </c>
      <c r="B58" t="inlineStr">
        <is>
          <t>MarkTrade</t>
        </is>
      </c>
      <c r="C58" t="inlineStr">
        <is>
          <t>15-4-26</t>
        </is>
      </c>
      <c r="D58" t="inlineStr">
        <is>
          <t>15:15</t>
        </is>
      </c>
      <c r="E58" t="inlineStr">
        <is>
          <t>Phemex</t>
        </is>
      </c>
      <c r="F58" t="inlineStr">
        <is>
          <t>SOL</t>
        </is>
      </c>
      <c r="G58" t="inlineStr">
        <is>
          <t>s</t>
        </is>
      </c>
      <c r="I58" s="35" t="n">
        <v>584.3</v>
      </c>
      <c r="M58" s="35" t="n">
        <v>85.06</v>
      </c>
      <c r="S58" s="35" t="n">
        <v>84.37</v>
      </c>
      <c r="T58" t="inlineStr">
        <is>
          <t>15-4-26</t>
        </is>
      </c>
      <c r="U58" t="inlineStr">
        <is>
          <t>17:30</t>
        </is>
      </c>
      <c r="V58" s="35" t="n">
        <v>84.37</v>
      </c>
      <c r="W58" s="31" t="n">
        <v>0.09375</v>
      </c>
      <c r="X58" s="43" t="n">
        <v>10.17</v>
      </c>
      <c r="Y58" s="44" t="n">
        <v>59.42</v>
      </c>
      <c r="Z58" s="44" t="n">
        <v>50.6</v>
      </c>
      <c r="AA58" t="inlineStr">
        <is>
          <t>j</t>
        </is>
      </c>
    </row>
    <row r="59">
      <c r="A59" t="n">
        <v>58</v>
      </c>
      <c r="B59" t="inlineStr">
        <is>
          <t>CK</t>
        </is>
      </c>
      <c r="C59" t="inlineStr">
        <is>
          <t>15-4-26</t>
        </is>
      </c>
      <c r="D59" t="inlineStr">
        <is>
          <t>10:00</t>
        </is>
      </c>
      <c r="E59" t="inlineStr">
        <is>
          <t>Toolbit</t>
        </is>
      </c>
      <c r="F59" t="inlineStr">
        <is>
          <t>TAO</t>
        </is>
      </c>
      <c r="G59" t="inlineStr">
        <is>
          <t>s</t>
        </is>
      </c>
      <c r="I59" s="35" t="n">
        <v>19.73</v>
      </c>
      <c r="J59" t="n">
        <v>10</v>
      </c>
      <c r="L59" s="35" t="n">
        <v>197.3</v>
      </c>
      <c r="M59" s="35" t="n">
        <v>246.41</v>
      </c>
      <c r="T59" t="inlineStr">
        <is>
          <t>15-4-26</t>
        </is>
      </c>
      <c r="U59" t="inlineStr">
        <is>
          <t>18:03</t>
        </is>
      </c>
      <c r="V59" s="35" t="n">
        <v>242.14</v>
      </c>
      <c r="W59" s="31" t="n">
        <v>0.3354166666666666</v>
      </c>
      <c r="X59" s="43" t="n">
        <v>16.47</v>
      </c>
      <c r="Y59" s="44" t="n">
        <v>3.25</v>
      </c>
      <c r="Z59" s="44" t="n">
        <v>3.25</v>
      </c>
      <c r="AA59" t="inlineStr">
        <is>
          <t>j</t>
        </is>
      </c>
    </row>
    <row r="60">
      <c r="A60" t="n">
        <v>59</v>
      </c>
      <c r="B60" t="inlineStr">
        <is>
          <t>EchtzeitErfolgKanal</t>
        </is>
      </c>
      <c r="C60" t="inlineStr">
        <is>
          <t>15-4-26</t>
        </is>
      </c>
      <c r="D60" t="inlineStr">
        <is>
          <t>13:23</t>
        </is>
      </c>
      <c r="E60" t="inlineStr">
        <is>
          <t>Phemex</t>
        </is>
      </c>
      <c r="F60" t="inlineStr">
        <is>
          <t>LINK</t>
        </is>
      </c>
      <c r="G60" t="inlineStr">
        <is>
          <t>s</t>
        </is>
      </c>
      <c r="I60" s="35" t="n">
        <v>154.2</v>
      </c>
      <c r="M60" s="35" t="n">
        <v>9.253</v>
      </c>
      <c r="S60" s="35" t="n">
        <v>9.255000000000001</v>
      </c>
      <c r="T60" t="inlineStr">
        <is>
          <t>15-4-26</t>
        </is>
      </c>
      <c r="U60" t="inlineStr">
        <is>
          <t>19:51</t>
        </is>
      </c>
      <c r="V60" s="35" t="n">
        <v>9.255000000000001</v>
      </c>
      <c r="W60" s="31" t="n">
        <v>0.2694444444444444</v>
      </c>
      <c r="X60" s="43" t="n">
        <v>-2.49</v>
      </c>
      <c r="Y60" s="44" t="n">
        <v>-3.84</v>
      </c>
      <c r="Z60" s="44" t="n">
        <v>-24.9</v>
      </c>
      <c r="AA60" t="inlineStr">
        <is>
          <t>j</t>
        </is>
      </c>
    </row>
    <row r="61">
      <c r="A61" t="n">
        <v>60</v>
      </c>
      <c r="B61" t="inlineStr">
        <is>
          <t>Viona</t>
        </is>
      </c>
      <c r="C61" t="inlineStr">
        <is>
          <t>16-4-26</t>
        </is>
      </c>
      <c r="D61" t="inlineStr">
        <is>
          <t>07:26</t>
        </is>
      </c>
      <c r="E61" t="inlineStr">
        <is>
          <t>BitGet</t>
        </is>
      </c>
      <c r="F61" t="inlineStr">
        <is>
          <t>LTC</t>
        </is>
      </c>
      <c r="G61" t="inlineStr">
        <is>
          <t>s</t>
        </is>
      </c>
      <c r="I61" s="35" t="n">
        <v>11043</v>
      </c>
      <c r="J61" t="n">
        <v>12</v>
      </c>
      <c r="L61" s="35" t="n">
        <v>132516</v>
      </c>
      <c r="M61" s="35" t="n">
        <v>55.54</v>
      </c>
      <c r="S61" s="35" t="n">
        <v>57.7</v>
      </c>
      <c r="T61" t="inlineStr">
        <is>
          <t>16-4-26</t>
        </is>
      </c>
      <c r="U61" t="inlineStr">
        <is>
          <t>10:11</t>
        </is>
      </c>
      <c r="V61" s="35" t="n">
        <v>55.07</v>
      </c>
      <c r="W61" s="31" t="n">
        <v>0.1145833333333333</v>
      </c>
      <c r="X61" s="43" t="n">
        <v>9.15</v>
      </c>
      <c r="Y61" s="44" t="n">
        <v>1010.47</v>
      </c>
      <c r="Z61" s="44" t="n">
        <v>1010.47</v>
      </c>
      <c r="AA61" t="inlineStr">
        <is>
          <t>j</t>
        </is>
      </c>
    </row>
    <row r="62">
      <c r="A62" t="n">
        <v>61</v>
      </c>
      <c r="B62" t="inlineStr">
        <is>
          <t>Viona</t>
        </is>
      </c>
      <c r="C62" t="inlineStr">
        <is>
          <t>17-4-26</t>
        </is>
      </c>
      <c r="D62" t="inlineStr">
        <is>
          <t>07:03</t>
        </is>
      </c>
      <c r="E62" t="inlineStr">
        <is>
          <t>Phemex</t>
        </is>
      </c>
      <c r="F62" t="inlineStr">
        <is>
          <t>ETH</t>
        </is>
      </c>
      <c r="G62" t="inlineStr">
        <is>
          <t>l</t>
        </is>
      </c>
      <c r="I62" s="35" t="n">
        <v>1000</v>
      </c>
      <c r="J62" t="n">
        <v>15</v>
      </c>
      <c r="L62" t="n">
        <v>14575.92</v>
      </c>
      <c r="M62" s="35" t="n">
        <v>2347.17</v>
      </c>
      <c r="T62" t="inlineStr">
        <is>
          <t>17-4-26</t>
        </is>
      </c>
      <c r="U62" t="inlineStr">
        <is>
          <t>09:21</t>
        </is>
      </c>
      <c r="V62" s="35" t="n">
        <v>2401.03</v>
      </c>
      <c r="W62" s="31" t="n">
        <v>0.09583333333333334</v>
      </c>
      <c r="X62" s="43" t="n">
        <v>32.32</v>
      </c>
      <c r="Y62" s="44" t="n">
        <v>334.47</v>
      </c>
      <c r="Z62" s="44" t="n">
        <v>316.78</v>
      </c>
      <c r="AA62" t="inlineStr">
        <is>
          <t>j</t>
        </is>
      </c>
    </row>
    <row r="63">
      <c r="A63" t="n">
        <v>62</v>
      </c>
      <c r="B63" t="inlineStr">
        <is>
          <t>Viona</t>
        </is>
      </c>
      <c r="C63" t="inlineStr">
        <is>
          <t>17-4-26</t>
        </is>
      </c>
      <c r="D63" t="inlineStr">
        <is>
          <t>14:08</t>
        </is>
      </c>
      <c r="E63" t="inlineStr">
        <is>
          <t>BitGet</t>
        </is>
      </c>
      <c r="F63" t="inlineStr">
        <is>
          <t>HBAR</t>
        </is>
      </c>
      <c r="G63" t="inlineStr">
        <is>
          <t>s</t>
        </is>
      </c>
      <c r="J63" t="n">
        <v>15</v>
      </c>
      <c r="M63" s="35" t="n">
        <v>0.09059</v>
      </c>
      <c r="T63" t="inlineStr">
        <is>
          <t>17-4-26</t>
        </is>
      </c>
      <c r="U63" t="inlineStr">
        <is>
          <t>23:17</t>
        </is>
      </c>
      <c r="V63" s="35" t="n">
        <v>0.09052</v>
      </c>
      <c r="W63" s="31" t="n">
        <v>0.38125</v>
      </c>
      <c r="X63" s="43" t="n">
        <v>-0.45</v>
      </c>
      <c r="Y63" s="44" t="n">
        <v>-11.74</v>
      </c>
      <c r="Z63" s="44" t="n">
        <v>-11.74</v>
      </c>
      <c r="AA63" t="inlineStr">
        <is>
          <t>j</t>
        </is>
      </c>
    </row>
    <row r="64">
      <c r="A64" t="n">
        <v>63</v>
      </c>
      <c r="B64" t="inlineStr">
        <is>
          <t>MarkTrade</t>
        </is>
      </c>
      <c r="C64" t="inlineStr">
        <is>
          <t>18-4-26</t>
        </is>
      </c>
      <c r="D64" t="inlineStr">
        <is>
          <t>13:25</t>
        </is>
      </c>
      <c r="E64" t="inlineStr">
        <is>
          <t>Phemex</t>
        </is>
      </c>
      <c r="F64" t="inlineStr">
        <is>
          <t>ETH</t>
        </is>
      </c>
      <c r="G64" t="inlineStr">
        <is>
          <t>s</t>
        </is>
      </c>
      <c r="I64" t="n">
        <v>191.42</v>
      </c>
      <c r="J64" t="n">
        <v>25</v>
      </c>
      <c r="L64" t="n">
        <v>4785.4205</v>
      </c>
      <c r="M64" t="n">
        <v>2357.35</v>
      </c>
      <c r="T64" t="inlineStr">
        <is>
          <t>18-4-26</t>
        </is>
      </c>
      <c r="U64" t="inlineStr">
        <is>
          <t>22:42</t>
        </is>
      </c>
      <c r="V64" t="n">
        <v>2343.69</v>
      </c>
      <c r="W64" s="31" t="n">
        <v>0.3868518518518518</v>
      </c>
      <c r="X64" t="n">
        <v>10.89</v>
      </c>
      <c r="Y64" t="n">
        <v>27.7217</v>
      </c>
      <c r="Z64" t="n">
        <v>21.3323</v>
      </c>
      <c r="AA64" t="inlineStr">
        <is>
          <t>j</t>
        </is>
      </c>
    </row>
    <row r="65">
      <c r="A65" t="n">
        <v>64</v>
      </c>
      <c r="B65" t="inlineStr">
        <is>
          <t>Viona</t>
        </is>
      </c>
      <c r="C65" t="inlineStr">
        <is>
          <t>20-4-26</t>
        </is>
      </c>
      <c r="D65" t="inlineStr">
        <is>
          <t>12:15</t>
        </is>
      </c>
      <c r="E65" t="inlineStr">
        <is>
          <t>ByBit</t>
        </is>
      </c>
      <c r="F65" t="inlineStr">
        <is>
          <t>GLM</t>
        </is>
      </c>
      <c r="G65" t="inlineStr">
        <is>
          <t>l</t>
        </is>
      </c>
      <c r="I65" t="n">
        <v>3840.46</v>
      </c>
      <c r="J65" t="n">
        <v>9</v>
      </c>
      <c r="L65" t="n">
        <v>34564.1</v>
      </c>
      <c r="M65" t="n">
        <v>0.1316</v>
      </c>
      <c r="N65" t="n">
        <v>0.1276</v>
      </c>
      <c r="O65" t="n">
        <v>0.1244</v>
      </c>
      <c r="S65" t="n">
        <v>0.1217</v>
      </c>
      <c r="T65" t="inlineStr">
        <is>
          <t>21-4-26</t>
        </is>
      </c>
      <c r="U65" t="inlineStr">
        <is>
          <t>13:02</t>
        </is>
      </c>
      <c r="V65" t="n">
        <v>0.1319</v>
      </c>
      <c r="W65" s="48" t="inlineStr">
        <is>
          <t>24:47:02</t>
        </is>
      </c>
      <c r="X65" t="n">
        <v>-4.69</v>
      </c>
      <c r="Y65" t="n">
        <v>-134.79</v>
      </c>
      <c r="Z65" t="n">
        <v>-180.72</v>
      </c>
      <c r="AA65" t="inlineStr">
        <is>
          <t>j</t>
        </is>
      </c>
    </row>
    <row r="66">
      <c r="A66" t="n">
        <v>65</v>
      </c>
      <c r="B66" t="inlineStr">
        <is>
          <t>Viona</t>
        </is>
      </c>
      <c r="C66" t="inlineStr">
        <is>
          <t>21-4-26</t>
        </is>
      </c>
      <c r="D66" t="inlineStr">
        <is>
          <t>07:17</t>
        </is>
      </c>
      <c r="E66" t="inlineStr">
        <is>
          <t>Binance</t>
        </is>
      </c>
      <c r="F66" t="inlineStr">
        <is>
          <t>MEME</t>
        </is>
      </c>
      <c r="G66" t="inlineStr">
        <is>
          <t>l</t>
        </is>
      </c>
      <c r="I66" t="n">
        <v>2374.57</v>
      </c>
      <c r="J66" t="n">
        <v>6</v>
      </c>
      <c r="L66" t="n">
        <v>14247.39</v>
      </c>
      <c r="M66" t="n">
        <v>0.0005915</v>
      </c>
      <c r="T66" t="inlineStr">
        <is>
          <t>22-4-26</t>
        </is>
      </c>
      <c r="U66" t="inlineStr">
        <is>
          <t>09:35</t>
        </is>
      </c>
      <c r="V66" t="n">
        <v>0.0005826</v>
      </c>
      <c r="W66" s="31" t="n">
        <v>1.095555555555556</v>
      </c>
      <c r="X66" t="n">
        <v>-9.970000000000001</v>
      </c>
      <c r="Y66" t="n">
        <v>-240.19</v>
      </c>
      <c r="Z66" t="n">
        <v>-240.19</v>
      </c>
      <c r="AA66" t="inlineStr">
        <is>
          <t>j</t>
        </is>
      </c>
      <c r="AB66" t="inlineStr">
        <is>
          <t>Irrtum geschlossen / close all</t>
        </is>
      </c>
    </row>
    <row r="67">
      <c r="A67" t="n">
        <v>66</v>
      </c>
      <c r="B67" t="inlineStr">
        <is>
          <t>Viona</t>
        </is>
      </c>
      <c r="C67" t="inlineStr">
        <is>
          <t>22-4-26</t>
        </is>
      </c>
      <c r="D67" t="inlineStr">
        <is>
          <t>08:11</t>
        </is>
      </c>
      <c r="E67" t="inlineStr">
        <is>
          <t>Binance</t>
        </is>
      </c>
      <c r="F67" t="inlineStr">
        <is>
          <t>OGN</t>
        </is>
      </c>
      <c r="G67" t="inlineStr">
        <is>
          <t>s</t>
        </is>
      </c>
      <c r="I67" t="n">
        <v>807.24</v>
      </c>
      <c r="J67" t="n">
        <v>10</v>
      </c>
      <c r="L67" t="n">
        <v>8072.39</v>
      </c>
      <c r="M67" t="n">
        <v>0.02326</v>
      </c>
      <c r="T67" t="inlineStr">
        <is>
          <t>22-4-26</t>
        </is>
      </c>
      <c r="U67" t="inlineStr">
        <is>
          <t>09:35</t>
        </is>
      </c>
      <c r="V67" t="n">
        <v>0.02328</v>
      </c>
      <c r="W67" s="31" t="n">
        <v>0.05787037037037037</v>
      </c>
      <c r="X67" t="n">
        <v>-1.33</v>
      </c>
      <c r="Y67" t="n">
        <v>-10.71</v>
      </c>
      <c r="Z67" t="n">
        <v>-10.71</v>
      </c>
      <c r="AA67" t="inlineStr">
        <is>
          <t>j</t>
        </is>
      </c>
      <c r="AB67" t="inlineStr">
        <is>
          <t>Irrtum geschlossen / close all</t>
        </is>
      </c>
    </row>
    <row r="68">
      <c r="A68" t="n">
        <v>67</v>
      </c>
      <c r="B68" t="inlineStr">
        <is>
          <t>CK</t>
        </is>
      </c>
      <c r="C68" t="inlineStr">
        <is>
          <t>24-4-26</t>
        </is>
      </c>
      <c r="D68" t="inlineStr">
        <is>
          <t>07:21</t>
        </is>
      </c>
      <c r="E68" t="inlineStr">
        <is>
          <t>Phemex</t>
        </is>
      </c>
      <c r="F68" t="inlineStr">
        <is>
          <t>BCH</t>
        </is>
      </c>
      <c r="G68" t="inlineStr">
        <is>
          <t>l</t>
        </is>
      </c>
      <c r="I68" t="n">
        <v>8350.7595</v>
      </c>
      <c r="J68" t="n">
        <v>10</v>
      </c>
      <c r="M68" t="n">
        <v>456.7</v>
      </c>
      <c r="T68" t="inlineStr">
        <is>
          <t>24-4-26</t>
        </is>
      </c>
      <c r="U68" t="inlineStr">
        <is>
          <t>10:28</t>
        </is>
      </c>
      <c r="V68" t="n">
        <v>457.71</v>
      </c>
      <c r="W68" s="31" t="n">
        <v>0.1297800925925926</v>
      </c>
      <c r="X68" t="n">
        <v>1.5</v>
      </c>
      <c r="Y68" t="n">
        <v>18.52</v>
      </c>
      <c r="Z68" t="n">
        <v>12.6627</v>
      </c>
      <c r="AA68" t="inlineStr">
        <is>
          <t>j</t>
        </is>
      </c>
    </row>
    <row r="69">
      <c r="A69" t="n">
        <v>68</v>
      </c>
      <c r="B69" t="inlineStr">
        <is>
          <t>Viona</t>
        </is>
      </c>
      <c r="C69" t="inlineStr">
        <is>
          <t>24-4-26</t>
        </is>
      </c>
      <c r="D69" t="inlineStr">
        <is>
          <t>05:41</t>
        </is>
      </c>
      <c r="E69" t="inlineStr">
        <is>
          <t>BitGet</t>
        </is>
      </c>
      <c r="F69" t="inlineStr">
        <is>
          <t>CRV</t>
        </is>
      </c>
      <c r="G69" t="inlineStr">
        <is>
          <t>s</t>
        </is>
      </c>
      <c r="I69" t="n">
        <v>3024.35</v>
      </c>
      <c r="J69" t="n">
        <v>11</v>
      </c>
      <c r="L69" t="n">
        <v>33267.8598</v>
      </c>
      <c r="M69" t="n">
        <v>0.224</v>
      </c>
      <c r="T69" t="inlineStr">
        <is>
          <t>24-4-26</t>
        </is>
      </c>
      <c r="U69" t="inlineStr">
        <is>
          <t>11:03</t>
        </is>
      </c>
      <c r="V69" t="n">
        <v>0.2228</v>
      </c>
      <c r="W69" s="31" t="n">
        <v>0.2232638888888889</v>
      </c>
      <c r="X69" t="n">
        <v>5</v>
      </c>
      <c r="Y69" t="n">
        <v>192.3641</v>
      </c>
      <c r="Z69" t="n">
        <v>152.3272</v>
      </c>
      <c r="AA69" t="inlineStr">
        <is>
          <t>j</t>
        </is>
      </c>
    </row>
    <row r="70">
      <c r="A70" t="n">
        <v>69</v>
      </c>
      <c r="B70" t="inlineStr">
        <is>
          <t>CK</t>
        </is>
      </c>
      <c r="C70" t="inlineStr">
        <is>
          <t>24-4-26</t>
        </is>
      </c>
      <c r="D70" t="inlineStr">
        <is>
          <t>09:57</t>
        </is>
      </c>
      <c r="E70" t="inlineStr">
        <is>
          <t>BitGet</t>
        </is>
      </c>
      <c r="F70" t="inlineStr">
        <is>
          <t>AVAX</t>
        </is>
      </c>
      <c r="G70" t="inlineStr">
        <is>
          <t>s</t>
        </is>
      </c>
      <c r="I70" t="n">
        <v>990.1799999999999</v>
      </c>
      <c r="J70" t="n">
        <v>15</v>
      </c>
      <c r="L70" t="n">
        <v>14852.653</v>
      </c>
      <c r="M70" t="n">
        <v>9.404</v>
      </c>
      <c r="T70" t="inlineStr">
        <is>
          <t>24-4-26</t>
        </is>
      </c>
      <c r="U70" t="inlineStr">
        <is>
          <t>11:06</t>
        </is>
      </c>
      <c r="V70" t="n">
        <v>9.367000000000001</v>
      </c>
      <c r="W70" s="31" t="n">
        <v>0.04780092592592593</v>
      </c>
      <c r="X70" t="n">
        <v>4.87</v>
      </c>
      <c r="Y70" t="n">
        <v>60.2092</v>
      </c>
      <c r="Z70" t="n">
        <v>48.4642</v>
      </c>
      <c r="AA70" t="inlineStr">
        <is>
          <t>j</t>
        </is>
      </c>
    </row>
    <row r="71">
      <c r="A71" t="n">
        <v>70</v>
      </c>
      <c r="B71" t="inlineStr">
        <is>
          <t>Viona</t>
        </is>
      </c>
      <c r="C71" t="inlineStr">
        <is>
          <t>27-4-26</t>
        </is>
      </c>
      <c r="D71" t="inlineStr">
        <is>
          <t>07:09</t>
        </is>
      </c>
      <c r="E71" t="inlineStr">
        <is>
          <t>BitGet</t>
        </is>
      </c>
      <c r="F71" t="inlineStr">
        <is>
          <t>SEI</t>
        </is>
      </c>
      <c r="G71" t="inlineStr">
        <is>
          <t>s</t>
        </is>
      </c>
      <c r="I71" t="n">
        <v>1747.3</v>
      </c>
      <c r="J71" t="n">
        <v>11</v>
      </c>
      <c r="L71" t="n">
        <v>19220.32</v>
      </c>
      <c r="M71" t="n">
        <v>0.06022</v>
      </c>
      <c r="T71" t="inlineStr">
        <is>
          <t>27-4-26</t>
        </is>
      </c>
      <c r="U71" t="inlineStr">
        <is>
          <t>07:14</t>
        </is>
      </c>
      <c r="V71" t="n">
        <v>0.06027</v>
      </c>
      <c r="W71" s="31" t="n">
        <v>0.003611111111111111</v>
      </c>
      <c r="X71" t="n">
        <v>-2.01</v>
      </c>
      <c r="Y71" t="n">
        <v>-13.96</v>
      </c>
      <c r="Z71" t="n">
        <v>-35.04</v>
      </c>
      <c r="AA71" t="inlineStr">
        <is>
          <t>j</t>
        </is>
      </c>
      <c r="AB71" t="inlineStr">
        <is>
          <t>Falsche Eingabe (Short)</t>
        </is>
      </c>
    </row>
    <row r="72">
      <c r="A72" t="n">
        <v>71</v>
      </c>
      <c r="B72" t="inlineStr">
        <is>
          <t>Viona</t>
        </is>
      </c>
      <c r="C72" t="inlineStr">
        <is>
          <t>27-4-26</t>
        </is>
      </c>
      <c r="D72" t="inlineStr">
        <is>
          <t>07:14</t>
        </is>
      </c>
      <c r="E72" t="inlineStr">
        <is>
          <t>BitGet</t>
        </is>
      </c>
      <c r="F72" t="inlineStr">
        <is>
          <t>SEI</t>
        </is>
      </c>
      <c r="G72" t="inlineStr">
        <is>
          <t>l</t>
        </is>
      </c>
      <c r="I72" t="n">
        <v>1756.78</v>
      </c>
      <c r="J72" t="n">
        <v>11</v>
      </c>
      <c r="L72" t="n">
        <v>19324.54</v>
      </c>
      <c r="M72" t="n">
        <v>0.06028</v>
      </c>
      <c r="T72" t="inlineStr">
        <is>
          <t>27-4-26</t>
        </is>
      </c>
      <c r="U72" t="inlineStr">
        <is>
          <t>08:58</t>
        </is>
      </c>
      <c r="V72" t="n">
        <v>0.06059</v>
      </c>
      <c r="W72" s="31" t="n">
        <v>0.07225694444444444</v>
      </c>
      <c r="X72" t="n">
        <v>4.32</v>
      </c>
      <c r="Y72" t="n">
        <v>98.81</v>
      </c>
      <c r="Z72" t="n">
        <v>75.68000000000001</v>
      </c>
      <c r="AA72" t="inlineStr">
        <is>
          <t>j</t>
        </is>
      </c>
    </row>
    <row r="73">
      <c r="A73" t="n">
        <v>72</v>
      </c>
      <c r="B73" t="inlineStr">
        <is>
          <t>CK</t>
        </is>
      </c>
      <c r="C73" t="inlineStr">
        <is>
          <t>22-4-26</t>
        </is>
      </c>
      <c r="D73" t="inlineStr">
        <is>
          <t>07:05</t>
        </is>
      </c>
      <c r="E73" t="inlineStr">
        <is>
          <t>Phemex</t>
        </is>
      </c>
      <c r="F73" t="inlineStr">
        <is>
          <t>LTC</t>
        </is>
      </c>
      <c r="G73" t="inlineStr">
        <is>
          <t>l</t>
        </is>
      </c>
      <c r="I73" t="n">
        <v>988.14</v>
      </c>
      <c r="J73" t="n">
        <v>5</v>
      </c>
      <c r="L73" t="n">
        <v>4940.684</v>
      </c>
      <c r="M73" t="n">
        <v>56.24</v>
      </c>
      <c r="T73" t="inlineStr">
        <is>
          <t>26-4-26</t>
        </is>
      </c>
      <c r="U73" t="inlineStr">
        <is>
          <t>21:00</t>
        </is>
      </c>
      <c r="V73" t="n">
        <v>56.5</v>
      </c>
      <c r="W73" s="31" t="n">
        <v>4.579861111111111</v>
      </c>
      <c r="X73" t="n">
        <v>2.27</v>
      </c>
      <c r="Y73" t="n">
        <v>22.7664</v>
      </c>
      <c r="Z73" t="n">
        <v>11.3262</v>
      </c>
      <c r="AA73" t="inlineStr">
        <is>
          <t>j</t>
        </is>
      </c>
    </row>
    <row r="74">
      <c r="A74" t="n">
        <v>73</v>
      </c>
      <c r="B74" t="inlineStr">
        <is>
          <t>MarkTrade</t>
        </is>
      </c>
      <c r="C74" t="inlineStr">
        <is>
          <t>25-4-26</t>
        </is>
      </c>
      <c r="D74" t="inlineStr">
        <is>
          <t>13:22:00</t>
        </is>
      </c>
      <c r="E74" t="inlineStr">
        <is>
          <t>Phemex</t>
        </is>
      </c>
      <c r="F74" t="inlineStr">
        <is>
          <t>BTC</t>
        </is>
      </c>
      <c r="G74" t="inlineStr">
        <is>
          <t>S</t>
        </is>
      </c>
      <c r="I74" t="n">
        <v>414.57</v>
      </c>
      <c r="J74" t="n">
        <v>50</v>
      </c>
      <c r="L74" t="n">
        <v>20728.46</v>
      </c>
      <c r="M74" t="inlineStr">
        <is>
          <t>77345.0</t>
        </is>
      </c>
      <c r="T74" t="inlineStr">
        <is>
          <t>27-4-26</t>
        </is>
      </c>
      <c r="U74" t="inlineStr">
        <is>
          <t>11:10:00</t>
        </is>
      </c>
      <c r="V74" t="inlineStr">
        <is>
          <t>77404.9</t>
        </is>
      </c>
      <c r="W74" s="31" t="n">
        <v>1.907638888888889</v>
      </c>
      <c r="X74" t="n">
        <v>-3.96</v>
      </c>
      <c r="Y74" s="44" t="n">
        <v>-16.05</v>
      </c>
      <c r="Z74" s="44" t="n">
        <v>-33.35</v>
      </c>
      <c r="AA74" t="inlineStr">
        <is>
          <t>j</t>
        </is>
      </c>
    </row>
    <row r="75">
      <c r="A75" t="n">
        <v>74</v>
      </c>
      <c r="B75" t="inlineStr">
        <is>
          <t>CK</t>
        </is>
      </c>
      <c r="C75" t="inlineStr">
        <is>
          <t>29-4-26</t>
        </is>
      </c>
      <c r="D75" t="inlineStr">
        <is>
          <t>08:00</t>
        </is>
      </c>
      <c r="E75" t="inlineStr">
        <is>
          <t>BitGet</t>
        </is>
      </c>
      <c r="F75" t="inlineStr">
        <is>
          <t>DOGE</t>
        </is>
      </c>
      <c r="G75" t="inlineStr">
        <is>
          <t>s</t>
        </is>
      </c>
      <c r="I75" t="n">
        <v>2090.56</v>
      </c>
      <c r="J75" t="n">
        <v>25</v>
      </c>
      <c r="L75" t="n">
        <v>52264.11</v>
      </c>
      <c r="M75" t="n">
        <v>0.10956</v>
      </c>
      <c r="T75" t="inlineStr">
        <is>
          <t>29-4-26</t>
        </is>
      </c>
      <c r="U75" t="inlineStr">
        <is>
          <t>08:29</t>
        </is>
      </c>
      <c r="V75" t="n">
        <v>0.10722</v>
      </c>
      <c r="W75" s="31" t="n">
        <v>0.01994212962962963</v>
      </c>
      <c r="X75" t="n">
        <v>50.69</v>
      </c>
      <c r="Y75" t="n">
        <v>1146.42</v>
      </c>
      <c r="Z75" t="n">
        <v>1083.02</v>
      </c>
      <c r="AA75" t="inlineStr">
        <is>
          <t>j</t>
        </is>
      </c>
    </row>
    <row r="76">
      <c r="A76" t="n">
        <v>75</v>
      </c>
      <c r="B76" t="inlineStr">
        <is>
          <t>Viona</t>
        </is>
      </c>
      <c r="C76" t="inlineStr">
        <is>
          <t>28-4-26</t>
        </is>
      </c>
      <c r="F76" t="inlineStr">
        <is>
          <t>CFX</t>
        </is>
      </c>
      <c r="G76" t="inlineStr">
        <is>
          <t>L</t>
        </is>
      </c>
      <c r="J76" t="n">
        <v>10</v>
      </c>
      <c r="W76" s="31" t="n"/>
      <c r="X76" t="n">
        <v>20.87</v>
      </c>
      <c r="Y76" t="n">
        <v>208.77</v>
      </c>
      <c r="AA76" t="inlineStr">
        <is>
          <t>j</t>
        </is>
      </c>
    </row>
    <row r="77">
      <c r="A77" t="n">
        <v>76</v>
      </c>
      <c r="B77" t="inlineStr">
        <is>
          <t>Viona</t>
        </is>
      </c>
      <c r="C77" t="inlineStr">
        <is>
          <t>04.05.26</t>
        </is>
      </c>
      <c r="D77" t="inlineStr">
        <is>
          <t>04:51:00</t>
        </is>
      </c>
      <c r="E77" t="inlineStr">
        <is>
          <t>Bitget</t>
        </is>
      </c>
      <c r="F77" t="inlineStr">
        <is>
          <t>SUI</t>
        </is>
      </c>
      <c r="G77" t="inlineStr">
        <is>
          <t>Short</t>
        </is>
      </c>
      <c r="H77" t="inlineStr">
        <is>
          <t>2804.0</t>
        </is>
      </c>
      <c r="I77" t="inlineStr">
        <is>
          <t>2804.0</t>
        </is>
      </c>
      <c r="J77" t="n">
        <v>15</v>
      </c>
      <c r="M77" t="inlineStr">
        <is>
          <t>0.9383</t>
        </is>
      </c>
      <c r="T77" t="inlineStr">
        <is>
          <t>04.05.26</t>
        </is>
      </c>
      <c r="U77" t="inlineStr">
        <is>
          <t>06:32:00</t>
        </is>
      </c>
      <c r="V77" t="inlineStr">
        <is>
          <t>0.9254</t>
        </is>
      </c>
      <c r="W77" s="31" t="n">
        <v>0.06966435185185185</v>
      </c>
      <c r="X77" t="n">
        <v>18.96</v>
      </c>
      <c r="Y77" t="n">
        <v>531.84</v>
      </c>
      <c r="AA77" t="inlineStr">
        <is>
          <t>j</t>
        </is>
      </c>
    </row>
    <row r="78">
      <c r="W78" s="31" t="n"/>
    </row>
    <row r="79"/>
    <row r="80"/>
    <row r="81"/>
    <row r="82"/>
    <row r="83"/>
    <row r="84"/>
    <row r="85"/>
  </sheetData>
  <autoFilter ref="A1:AA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tabSelected="1" workbookViewId="0">
      <selection activeCell="L16" sqref="L16"/>
    </sheetView>
  </sheetViews>
  <sheetFormatPr baseColWidth="10" defaultColWidth="8.83203125" defaultRowHeight="15"/>
  <cols>
    <col width="22" customWidth="1" min="1" max="1"/>
    <col width="14" customWidth="1" min="2" max="6"/>
    <col width="13.6640625" customWidth="1" min="7" max="7"/>
    <col width="17" customWidth="1" min="8" max="8"/>
    <col width="14" customWidth="1" min="9" max="12"/>
    <col width="7.83203125" customWidth="1" min="13" max="13"/>
  </cols>
  <sheetData>
    <row r="1" ht="24" customHeight="1">
      <c r="A1" s="52" t="inlineStr">
        <is>
          <t>TRADING STATISTIKEN 2026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50" t="n"/>
    </row>
    <row r="3">
      <c r="A3" s="54" t="inlineStr">
        <is>
          <t>TRADE STATISTIKEN</t>
        </is>
      </c>
      <c r="B3" s="49" t="n"/>
      <c r="C3" s="49" t="n"/>
      <c r="D3" s="49" t="n"/>
      <c r="E3" s="49" t="n"/>
      <c r="F3" s="50" t="n"/>
      <c r="H3" s="55" t="inlineStr">
        <is>
          <t>SIGNALGEBER STATISTIK</t>
        </is>
      </c>
      <c r="I3" s="49" t="n"/>
      <c r="J3" s="49" t="n"/>
      <c r="K3" s="49" t="n"/>
      <c r="L3" s="49" t="n"/>
      <c r="M3" s="50" t="n"/>
    </row>
    <row r="4">
      <c r="H4" s="16" t="inlineStr">
        <is>
          <t>Signalgeber</t>
        </is>
      </c>
      <c r="I4" s="16" t="inlineStr">
        <is>
          <t>Trades</t>
        </is>
      </c>
      <c r="J4" s="16" t="inlineStr">
        <is>
          <t>Wins</t>
        </is>
      </c>
      <c r="K4" s="16" t="inlineStr">
        <is>
          <t>Winrate</t>
        </is>
      </c>
      <c r="L4" s="16" t="inlineStr">
        <is>
          <t>PNL (USDT)</t>
        </is>
      </c>
      <c r="M4" s="16" t="inlineStr">
        <is>
          <t>ROI</t>
        </is>
      </c>
    </row>
    <row r="5">
      <c r="A5" s="17" t="inlineStr">
        <is>
          <t>Gesamt Trades</t>
        </is>
      </c>
      <c r="B5" s="18">
        <f>COUNTA(Trades!A2:A2000)</f>
        <v/>
      </c>
      <c r="H5" s="19" t="inlineStr">
        <is>
          <t>Viona</t>
        </is>
      </c>
      <c r="I5" s="18">
        <f>COUNTIF(Trades!B2:B2000,H5)</f>
        <v/>
      </c>
      <c r="J5" s="18">
        <f>COUNTIFS(Trades!B2:B2000,H5,Trades!Y2:Y2000,"&gt;"&amp;0)</f>
        <v/>
      </c>
      <c r="K5" s="45">
        <f>IFERROR(J5/I5,"")</f>
        <v/>
      </c>
      <c r="L5" s="62">
        <f>IFERROR(SUMIF(Trades!B$2:B$2000,H5,Trades!Y$2:Y$2000),"")</f>
        <v/>
      </c>
      <c r="M5" s="57">
        <f>IFERROR(AVERAGEIF(Trades!B$2:B$2000,H5,Trades!X$2:X$2000),"")/100</f>
        <v/>
      </c>
    </row>
    <row r="6">
      <c r="A6" s="17" t="inlineStr">
        <is>
          <t>Wins</t>
        </is>
      </c>
      <c r="B6" s="18">
        <f>COUNTIFS(Trades!Y2:Y2000,"&gt;"&amp;0,Trades!AA2:AA2000,"j")</f>
        <v/>
      </c>
      <c r="H6" s="19" t="inlineStr">
        <is>
          <t>CK</t>
        </is>
      </c>
      <c r="I6" s="18">
        <f>COUNTIF(Trades!B2:B2000,H6)</f>
        <v/>
      </c>
      <c r="J6" s="18">
        <f>COUNTIFS(Trades!B2:B2000,H6,Trades!Y2:Y2000,"&gt;"&amp;0)</f>
        <v/>
      </c>
      <c r="K6" s="45">
        <f>IFERROR(J6/I6,"")</f>
        <v/>
      </c>
      <c r="L6" s="62">
        <f>IFERROR(SUMIF(Trades!B$2:B$2000,H6,Trades!Y$2:Y$2000),"")</f>
        <v/>
      </c>
      <c r="M6" s="57">
        <f>IFERROR(AVERAGEIF(Trades!B$2:B$2000,H6,Trades!X$2:X$2000),"")/100</f>
        <v/>
      </c>
    </row>
    <row r="7">
      <c r="A7" s="17" t="inlineStr">
        <is>
          <t>Losses</t>
        </is>
      </c>
      <c r="B7" s="18">
        <f>COUNTIFS(Trades!Y2:Y2000,"&lt;"&amp;0,Trades!AA2:AA2000,"j")</f>
        <v/>
      </c>
      <c r="H7" s="19" t="inlineStr">
        <is>
          <t>Global Crypto Research</t>
        </is>
      </c>
      <c r="I7" s="18">
        <f>COUNTIF(Trades!B2:B2000,H7)</f>
        <v/>
      </c>
      <c r="J7" s="18">
        <f>COUNTIFS(Trades!B2:B2000,H7,Trades!Y2:Y2000,"&gt;"&amp;0)</f>
        <v/>
      </c>
      <c r="K7" s="45">
        <f>IFERROR(J7/I7,"")</f>
        <v/>
      </c>
      <c r="L7" s="62">
        <f>IFERROR(SUMIF(Trades!B$2:B$2000,H7,Trades!Y$2:Y$2000),"")</f>
        <v/>
      </c>
      <c r="M7" s="57">
        <f>IFERROR(AVERAGEIF(Trades!B$2:B$2000,H7,Trades!X$2:X$2000),"")/100</f>
        <v/>
      </c>
    </row>
    <row r="8">
      <c r="A8" s="17" t="inlineStr">
        <is>
          <t>Winrate</t>
        </is>
      </c>
      <c r="B8" s="63">
        <f>IFERROR(B6/B5,"")</f>
        <v/>
      </c>
      <c r="H8" s="19" t="inlineStr">
        <is>
          <t>Crypto pro Traders</t>
        </is>
      </c>
      <c r="I8" s="18">
        <f>COUNTIF(Trades!B2:B2000,H8)</f>
        <v/>
      </c>
      <c r="J8" s="18">
        <f>COUNTIFS(Trades!B2:B2000,H8,Trades!Y2:Y2000,"&gt;"&amp;0)</f>
        <v/>
      </c>
      <c r="K8" s="45">
        <f>IFERROR(J8/I8,"")</f>
        <v/>
      </c>
      <c r="L8" s="62">
        <f>IFERROR(SUMIF(Trades!B$2:B$2000,H8,Trades!Y$2:Y$2000),"")</f>
        <v/>
      </c>
      <c r="M8" s="57">
        <f>IFERROR(AVERAGEIF(Trades!B$2:B$2000,H8,Trades!X$2:X$2000),"")/100</f>
        <v/>
      </c>
    </row>
    <row r="9">
      <c r="A9" s="17" t="inlineStr">
        <is>
          <t>Gesamt PNL (USDT)</t>
        </is>
      </c>
      <c r="B9" s="62">
        <f>IFERROR(SUMIF(Trades!AA2:AA2000,"j",Trades!Y2:Y2000),0)</f>
        <v/>
      </c>
      <c r="H9" s="19" t="inlineStr">
        <is>
          <t>Cornix</t>
        </is>
      </c>
      <c r="I9" s="18">
        <f>COUNTIF(Trades!B2:B2000,H9)</f>
        <v/>
      </c>
      <c r="J9" s="18">
        <f>COUNTIFS(Trades!B2:B2000,H9,Trades!Y2:Y2000,"&gt;"&amp;0)</f>
        <v/>
      </c>
      <c r="K9" s="45">
        <f>IFERROR(J9/I9,"")</f>
        <v/>
      </c>
      <c r="L9" s="62">
        <f>IFERROR(SUMIF(Trades!B$2:B$2000,H9,Trades!Y$2:Y$2000),"")</f>
        <v/>
      </c>
      <c r="M9" s="57">
        <f>IFERROR(AVERAGEIF(Trades!B$2:B$2000,H9,Trades!X$2:X$2000),"")/100</f>
        <v/>
      </c>
    </row>
    <row r="10">
      <c r="A10" s="17" t="inlineStr">
        <is>
          <t>Ø Trade-Dauer</t>
        </is>
      </c>
      <c r="B10" s="64">
        <f>IFERROR(AVERAGEIF(Trades!W2:W2000,"&gt;"&amp;0),0)</f>
        <v/>
      </c>
      <c r="H10" s="19" t="inlineStr">
        <is>
          <t>CryptoCult</t>
        </is>
      </c>
      <c r="I10" s="18">
        <f>COUNTIF(Trades!B2:B2000,H10)</f>
        <v/>
      </c>
      <c r="J10" s="18">
        <f>COUNTIFS(Trades!B2:B2000,H10,Trades!Y2:Y2000,"&gt;"&amp;0)</f>
        <v/>
      </c>
      <c r="K10" s="45">
        <f>IFERROR(J10/I10,"")</f>
        <v/>
      </c>
      <c r="L10" s="62">
        <f>IFERROR(SUMIF(Trades!B$2:B$2000,H10,Trades!Y$2:Y$2000),"")</f>
        <v/>
      </c>
      <c r="M10" s="57">
        <f>IFERROR(AVERAGEIF(Trades!B$2:B$2000,H10,Trades!X$2:X$2000),"")/100</f>
        <v/>
      </c>
    </row>
    <row r="12">
      <c r="A12" s="54" t="inlineStr">
        <is>
          <t>EINZAHLUNGEN</t>
        </is>
      </c>
      <c r="B12" s="49" t="n"/>
      <c r="C12" s="49" t="n"/>
      <c r="D12" s="49" t="n"/>
      <c r="E12" s="49" t="n"/>
      <c r="F12" s="50" t="n"/>
    </row>
    <row r="13">
      <c r="A13" s="20" t="inlineStr">
        <is>
          <t>Datum</t>
        </is>
      </c>
      <c r="B13" s="20" t="inlineStr">
        <is>
          <t>Summe (USDT)</t>
        </is>
      </c>
      <c r="C13" s="20" t="inlineStr">
        <is>
          <t>Initialen</t>
        </is>
      </c>
      <c r="D13" s="20" t="inlineStr">
        <is>
          <t>Binance</t>
        </is>
      </c>
      <c r="E13" s="20" t="inlineStr">
        <is>
          <t>Bybit</t>
        </is>
      </c>
      <c r="F13" s="20" t="inlineStr">
        <is>
          <t>Toobit</t>
        </is>
      </c>
      <c r="G13" s="20" t="inlineStr">
        <is>
          <t>KuCoin</t>
        </is>
      </c>
      <c r="H13" s="20" t="inlineStr">
        <is>
          <t>Bitget</t>
        </is>
      </c>
      <c r="I13" s="20" t="inlineStr">
        <is>
          <t>Phemex</t>
        </is>
      </c>
      <c r="J13" s="20" t="inlineStr">
        <is>
          <t>Wallet Trust</t>
        </is>
      </c>
    </row>
    <row r="14">
      <c r="A14" s="18" t="inlineStr">
        <is>
          <t>17.02.2026</t>
        </is>
      </c>
      <c r="B14" s="36" t="n">
        <v>1000</v>
      </c>
      <c r="C14" s="18" t="inlineStr">
        <is>
          <t>TR</t>
        </is>
      </c>
      <c r="D14" s="22" t="n"/>
      <c r="E14" s="22" t="n"/>
      <c r="F14" s="22" t="n"/>
      <c r="G14" s="22" t="n"/>
      <c r="H14" s="21" t="n"/>
      <c r="I14" s="36" t="n">
        <v>1000</v>
      </c>
      <c r="J14" s="36" t="n">
        <v>2</v>
      </c>
    </row>
    <row r="15">
      <c r="A15" s="18" t="inlineStr">
        <is>
          <t>07.03.2026</t>
        </is>
      </c>
      <c r="B15" s="36" t="n">
        <v>3700</v>
      </c>
      <c r="C15" s="18" t="inlineStr">
        <is>
          <t>TR</t>
        </is>
      </c>
      <c r="D15" s="22" t="n"/>
      <c r="E15" s="22" t="n"/>
      <c r="F15" s="22" t="n"/>
      <c r="G15" s="22" t="n"/>
      <c r="H15" s="37" t="n">
        <v>3700</v>
      </c>
      <c r="I15" s="22" t="n"/>
      <c r="J15" s="22" t="n"/>
    </row>
    <row r="16">
      <c r="A16" s="18" t="inlineStr">
        <is>
          <t>10.04.2026</t>
        </is>
      </c>
      <c r="B16" s="36" t="n">
        <v>5300</v>
      </c>
      <c r="C16" s="18" t="inlineStr">
        <is>
          <t>TR</t>
        </is>
      </c>
      <c r="D16" s="22" t="n"/>
      <c r="E16" s="22" t="n"/>
      <c r="F16" s="22" t="n"/>
      <c r="G16" s="22" t="n"/>
      <c r="H16" s="37" t="n">
        <v>5300</v>
      </c>
      <c r="I16" s="22" t="n"/>
      <c r="J16" s="22" t="n"/>
    </row>
    <row r="17">
      <c r="A17" s="18" t="inlineStr">
        <is>
          <t>10.04.2026</t>
        </is>
      </c>
      <c r="B17" s="36" t="n">
        <v>10000</v>
      </c>
      <c r="C17" s="18" t="inlineStr">
        <is>
          <t>GT</t>
        </is>
      </c>
      <c r="D17" s="22" t="n"/>
      <c r="E17" s="22" t="n"/>
      <c r="F17" s="22" t="n"/>
      <c r="G17" s="22" t="n"/>
      <c r="H17" s="37" t="n">
        <v>9000</v>
      </c>
      <c r="I17" s="37" t="n">
        <v>1000</v>
      </c>
      <c r="J17" s="22" t="n"/>
    </row>
    <row r="18">
      <c r="A18" s="23" t="n"/>
      <c r="B18" s="22" t="n"/>
      <c r="C18" s="23" t="n"/>
      <c r="D18" s="22" t="n"/>
      <c r="E18" s="22" t="n"/>
      <c r="F18" s="22" t="n"/>
      <c r="G18" s="22" t="n"/>
      <c r="H18" s="22" t="n"/>
      <c r="I18" s="22" t="n"/>
      <c r="J18" s="22" t="n"/>
    </row>
    <row r="19">
      <c r="A19" s="23" t="n"/>
      <c r="B19" s="22" t="n"/>
      <c r="C19" s="23" t="n"/>
      <c r="D19" s="22" t="n"/>
      <c r="E19" s="22" t="n"/>
      <c r="F19" s="22" t="n"/>
      <c r="G19" s="22" t="n"/>
      <c r="H19" s="22" t="n"/>
      <c r="I19" s="22" t="n"/>
      <c r="J19" s="22" t="n"/>
    </row>
    <row r="20">
      <c r="A20" s="24" t="inlineStr">
        <is>
          <t>TOTAL Einzahlungen</t>
        </is>
      </c>
      <c r="B20" s="38" t="n">
        <v>20000</v>
      </c>
      <c r="C20" s="25">
        <f>SUM(C14:C19)</f>
        <v/>
      </c>
      <c r="D20" s="25">
        <f>SUM(D14:D19)</f>
        <v/>
      </c>
      <c r="E20" s="25">
        <f>SUM(E14:E19)</f>
        <v/>
      </c>
      <c r="F20" s="25">
        <f>SUM(F14:F19)</f>
        <v/>
      </c>
      <c r="G20" s="25">
        <f>SUM(G14:G19)</f>
        <v/>
      </c>
      <c r="H20" s="25">
        <f>SUM(H14:H19)</f>
        <v/>
      </c>
      <c r="I20" s="25">
        <f>SUM(I14:I19)</f>
        <v/>
      </c>
      <c r="J20" s="25">
        <f>SUM(J14:J19)</f>
        <v/>
      </c>
    </row>
    <row r="23" ht="20" customHeight="1">
      <c r="A23" s="51" t="inlineStr">
        <is>
          <t>KONTOSTAND PRO BÖRSE</t>
        </is>
      </c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50" t="n"/>
    </row>
    <row r="24">
      <c r="A24" s="34" t="inlineStr">
        <is>
          <t>Bitget</t>
        </is>
      </c>
      <c r="B24" s="49" t="n"/>
      <c r="C24" s="50" t="n"/>
      <c r="E24" s="34" t="inlineStr">
        <is>
          <t>Phemex</t>
        </is>
      </c>
      <c r="F24" s="49" t="n"/>
      <c r="G24" s="50" t="n"/>
      <c r="I24" s="34" t="inlineStr">
        <is>
          <t>Binance</t>
        </is>
      </c>
      <c r="J24" s="49" t="n"/>
      <c r="K24" s="50" t="n"/>
    </row>
    <row r="25">
      <c r="A25" s="26" t="inlineStr">
        <is>
          <t>Datum</t>
        </is>
      </c>
      <c r="B25" s="26" t="inlineStr">
        <is>
          <t>Betrag (USDT)</t>
        </is>
      </c>
      <c r="C25" s="26" t="inlineStr">
        <is>
          <t>Notiz</t>
        </is>
      </c>
      <c r="E25" s="26" t="inlineStr">
        <is>
          <t>Datum</t>
        </is>
      </c>
      <c r="F25" s="26" t="inlineStr">
        <is>
          <t>Betrag (USDT)</t>
        </is>
      </c>
      <c r="G25" s="26" t="inlineStr">
        <is>
          <t>Notiz</t>
        </is>
      </c>
      <c r="I25" s="26" t="inlineStr">
        <is>
          <t>Datum</t>
        </is>
      </c>
      <c r="J25" s="26" t="inlineStr">
        <is>
          <t>Betrag (USDT)</t>
        </is>
      </c>
      <c r="K25" s="26" t="inlineStr">
        <is>
          <t>Notiz</t>
        </is>
      </c>
    </row>
    <row r="26">
      <c r="A26" s="28" t="n">
        <v>46126</v>
      </c>
      <c r="B26" s="65" t="n">
        <v>19542.19</v>
      </c>
      <c r="C26" s="23" t="n"/>
      <c r="E26" s="28" t="n">
        <v>46126</v>
      </c>
      <c r="F26" s="65" t="n">
        <v>2067.06</v>
      </c>
      <c r="G26" s="23" t="n"/>
      <c r="I26" s="23" t="n"/>
      <c r="J26" s="59" t="n">
        <v>0</v>
      </c>
      <c r="K26" s="23" t="n"/>
    </row>
    <row r="27">
      <c r="A27" s="28" t="n">
        <v>46128</v>
      </c>
      <c r="B27" s="65" t="n">
        <v>20552.66</v>
      </c>
      <c r="C27" s="23" t="n"/>
      <c r="E27" s="29" t="n">
        <v>46128</v>
      </c>
      <c r="F27" s="65" t="n">
        <v>2015.73</v>
      </c>
      <c r="G27" s="23" t="inlineStr">
        <is>
          <t>35 zu Toolbit</t>
        </is>
      </c>
      <c r="I27" s="23" t="n"/>
      <c r="J27" s="59" t="n"/>
      <c r="K27" s="23" t="n"/>
    </row>
    <row r="28">
      <c r="A28" s="28" t="n">
        <v>46138</v>
      </c>
      <c r="B28" s="65" t="n">
        <v>20310</v>
      </c>
      <c r="C28" s="23" t="n"/>
      <c r="E28" s="28" t="n">
        <v>46138</v>
      </c>
      <c r="F28" s="65" t="n">
        <v>2010</v>
      </c>
      <c r="G28" s="23" t="n"/>
      <c r="I28" s="23" t="n"/>
      <c r="J28" s="59" t="n"/>
      <c r="K28" s="23" t="n"/>
    </row>
    <row r="29">
      <c r="A29" s="23" t="n"/>
      <c r="B29" s="65" t="n"/>
      <c r="C29" s="23" t="n"/>
      <c r="E29" s="23" t="n"/>
      <c r="F29" s="65" t="n"/>
      <c r="G29" s="23" t="n"/>
      <c r="I29" s="23" t="n"/>
      <c r="J29" s="59" t="n"/>
      <c r="K29" s="23" t="n"/>
    </row>
    <row r="30">
      <c r="A30" s="23" t="n"/>
      <c r="B30" s="65" t="n"/>
      <c r="C30" s="23" t="n"/>
      <c r="E30" s="23" t="n"/>
      <c r="F30" s="65" t="n"/>
      <c r="G30" s="23" t="n"/>
      <c r="I30" s="23" t="n"/>
      <c r="J30" s="59" t="n"/>
      <c r="K30" s="23" t="n"/>
    </row>
    <row r="31">
      <c r="A31" s="23" t="n"/>
      <c r="B31" s="65" t="n"/>
      <c r="C31" s="23" t="n"/>
      <c r="E31" s="23" t="n"/>
      <c r="F31" s="65" t="n"/>
      <c r="G31" s="23" t="n"/>
      <c r="I31" s="23" t="n"/>
      <c r="J31" s="59" t="n"/>
      <c r="K31" s="23" t="n"/>
    </row>
    <row r="32">
      <c r="A32" s="23" t="n"/>
      <c r="B32" s="65" t="n"/>
      <c r="C32" s="23" t="n"/>
      <c r="E32" s="23" t="n"/>
      <c r="F32" s="65" t="n"/>
      <c r="G32" s="23" t="n"/>
      <c r="I32" s="23" t="n"/>
      <c r="J32" s="59" t="n"/>
      <c r="K32" s="23" t="n"/>
    </row>
    <row r="33">
      <c r="A33" s="23" t="n"/>
      <c r="B33" s="65" t="n"/>
      <c r="C33" s="23" t="n"/>
      <c r="E33" s="23" t="n"/>
      <c r="F33" s="65" t="n"/>
      <c r="G33" s="23" t="n"/>
      <c r="I33" s="23" t="n"/>
      <c r="J33" s="59" t="n"/>
      <c r="K33" s="23" t="n"/>
    </row>
    <row r="35">
      <c r="A35" s="34" t="inlineStr">
        <is>
          <t>Bybit</t>
        </is>
      </c>
      <c r="B35" s="49" t="n"/>
      <c r="C35" s="50" t="n"/>
      <c r="E35" s="34" t="inlineStr">
        <is>
          <t>Toobit</t>
        </is>
      </c>
      <c r="F35" s="49" t="n"/>
      <c r="G35" s="50" t="n"/>
      <c r="I35" s="34" t="inlineStr">
        <is>
          <t>Kucoin</t>
        </is>
      </c>
      <c r="J35" s="49" t="n"/>
      <c r="K35" s="50" t="n"/>
    </row>
    <row r="36">
      <c r="A36" s="26" t="inlineStr">
        <is>
          <t>Datum</t>
        </is>
      </c>
      <c r="B36" s="26" t="inlineStr">
        <is>
          <t>Betrag (USDT)</t>
        </is>
      </c>
      <c r="C36" s="26" t="inlineStr">
        <is>
          <t>Notiz</t>
        </is>
      </c>
      <c r="E36" s="26" t="inlineStr">
        <is>
          <t>Datum</t>
        </is>
      </c>
      <c r="F36" s="26" t="inlineStr">
        <is>
          <t>Betrag (USDT)</t>
        </is>
      </c>
      <c r="G36" s="26" t="inlineStr">
        <is>
          <t>Notiz</t>
        </is>
      </c>
      <c r="I36" s="26" t="inlineStr">
        <is>
          <t>Datum</t>
        </is>
      </c>
      <c r="J36" s="26" t="inlineStr">
        <is>
          <t>Betrag (USDT)</t>
        </is>
      </c>
      <c r="K36" s="26" t="inlineStr">
        <is>
          <t>Notiz</t>
        </is>
      </c>
    </row>
    <row r="37">
      <c r="A37" s="23" t="n"/>
      <c r="B37" s="59" t="n">
        <v>0</v>
      </c>
      <c r="C37" s="23" t="n"/>
      <c r="E37" s="28" t="n">
        <v>46127</v>
      </c>
      <c r="F37" s="59" t="n">
        <v>34</v>
      </c>
      <c r="G37" s="23" t="inlineStr">
        <is>
          <t>von Phemex</t>
        </is>
      </c>
      <c r="I37" s="23" t="n"/>
      <c r="J37" s="59" t="n">
        <v>0</v>
      </c>
      <c r="K37" s="23" t="n"/>
    </row>
    <row r="38">
      <c r="A38" s="23" t="n"/>
      <c r="B38" s="59" t="n"/>
      <c r="C38" s="23" t="n"/>
      <c r="E38" s="28" t="n">
        <v>46128</v>
      </c>
      <c r="F38" s="59" t="n">
        <v>37.25</v>
      </c>
      <c r="G38" s="23" t="n"/>
      <c r="I38" s="23" t="n"/>
      <c r="J38" s="59" t="n"/>
      <c r="K38" s="23" t="n"/>
    </row>
    <row r="39">
      <c r="A39" s="23" t="n"/>
      <c r="B39" s="59" t="n"/>
      <c r="C39" s="23" t="n"/>
      <c r="E39" s="28" t="n">
        <v>46128</v>
      </c>
      <c r="F39" s="59" t="n">
        <v>37.25</v>
      </c>
      <c r="G39" s="23" t="n"/>
      <c r="I39" s="23" t="n"/>
      <c r="J39" s="59" t="n"/>
      <c r="K39" s="23" t="n"/>
    </row>
    <row r="40">
      <c r="A40" s="23" t="n"/>
      <c r="B40" s="59" t="n"/>
      <c r="C40" s="23" t="n"/>
      <c r="E40" s="23" t="n"/>
      <c r="F40" s="59" t="n"/>
      <c r="G40" s="23" t="n"/>
      <c r="I40" s="23" t="n"/>
      <c r="J40" s="59" t="n"/>
      <c r="K40" s="23" t="n"/>
    </row>
    <row r="41">
      <c r="A41" s="23" t="n"/>
      <c r="B41" s="59" t="n"/>
      <c r="C41" s="23" t="n"/>
      <c r="E41" s="23" t="n"/>
      <c r="F41" s="59" t="n"/>
      <c r="G41" s="23" t="n"/>
      <c r="I41" s="23" t="n"/>
      <c r="J41" s="59" t="n"/>
      <c r="K41" s="23" t="n"/>
    </row>
    <row r="42">
      <c r="A42" s="23" t="n"/>
      <c r="B42" s="59" t="n"/>
      <c r="C42" s="23" t="n"/>
      <c r="E42" s="23" t="n"/>
      <c r="F42" s="59" t="n"/>
      <c r="G42" s="23" t="n"/>
      <c r="I42" s="23" t="n"/>
      <c r="J42" s="59" t="n"/>
      <c r="K42" s="23" t="n"/>
    </row>
    <row r="43">
      <c r="A43" s="23" t="n"/>
      <c r="B43" s="59" t="n"/>
      <c r="C43" s="23" t="n"/>
      <c r="E43" s="23" t="n"/>
      <c r="F43" s="59" t="n"/>
      <c r="G43" s="23" t="n"/>
      <c r="I43" s="23" t="n"/>
      <c r="J43" s="59" t="n"/>
      <c r="K43" s="23" t="n"/>
    </row>
    <row r="44">
      <c r="A44" s="23" t="n"/>
      <c r="B44" s="59" t="n"/>
      <c r="C44" s="23" t="n"/>
      <c r="E44" s="23" t="n"/>
      <c r="F44" s="59" t="n"/>
      <c r="G44" s="23" t="n"/>
      <c r="I44" s="23" t="n"/>
      <c r="J44" s="59" t="n"/>
      <c r="K44" s="23" t="n"/>
    </row>
    <row r="51" ht="22" customHeight="1">
      <c r="A51" s="51" t="inlineStr">
        <is>
          <t>AUSZAHLUNGEN &amp; GEWINNVERTEILUNG</t>
        </is>
      </c>
      <c r="B51" s="49" t="n"/>
      <c r="C51" s="49" t="n"/>
      <c r="D51" s="49" t="n"/>
      <c r="E51" s="49" t="n"/>
      <c r="F51" s="50" t="n"/>
    </row>
    <row r="52">
      <c r="A52" s="53" t="inlineStr">
        <is>
          <t>Übersicht  (ab 17.02.2026)</t>
        </is>
      </c>
      <c r="B52" s="49" t="n"/>
      <c r="C52" s="49" t="n"/>
      <c r="D52" s="49" t="n"/>
      <c r="E52" s="49" t="n"/>
      <c r="F52" s="50" t="n"/>
    </row>
    <row r="53">
      <c r="A53" s="27" t="inlineStr">
        <is>
          <t>Zeitraum / Datum</t>
        </is>
      </c>
      <c r="B53" s="27" t="inlineStr">
        <is>
          <t>Brutto</t>
        </is>
      </c>
      <c r="C53" s="27" t="inlineStr">
        <is>
          <t>Ausgaben</t>
        </is>
      </c>
      <c r="D53" s="27" t="inlineStr">
        <is>
          <t>Netto</t>
        </is>
      </c>
      <c r="E53" s="27" t="inlineStr">
        <is>
          <t>TR (50%)</t>
        </is>
      </c>
      <c r="F53" s="30" t="inlineStr">
        <is>
          <t>GT (50%)</t>
        </is>
      </c>
      <c r="G53" s="27" t="inlineStr">
        <is>
          <t>CK (50%)</t>
        </is>
      </c>
    </row>
    <row r="54">
      <c r="A54" s="23" t="inlineStr">
        <is>
          <t>17.02–31.03.2026</t>
        </is>
      </c>
      <c r="B54" s="47" t="n">
        <v>1090</v>
      </c>
      <c r="C54" s="47" t="n"/>
      <c r="D54" s="47">
        <f>B54-C54</f>
        <v/>
      </c>
      <c r="E54" s="47">
        <f>D54*0.5</f>
        <v/>
      </c>
      <c r="F54" s="47" t="n"/>
      <c r="G54" s="47">
        <f>D54*0.5</f>
        <v/>
      </c>
    </row>
    <row r="55">
      <c r="A55" s="23" t="inlineStr">
        <is>
          <t>07.04.2026</t>
        </is>
      </c>
      <c r="B55" s="47" t="n">
        <v>866</v>
      </c>
      <c r="C55" s="47" t="n"/>
      <c r="D55" s="47">
        <f>B55-C55</f>
        <v/>
      </c>
      <c r="E55" s="47">
        <f>D55*0.5</f>
        <v/>
      </c>
      <c r="F55" s="47" t="n"/>
      <c r="G55" s="47">
        <f>D55*0.5</f>
        <v/>
      </c>
    </row>
    <row r="56">
      <c r="A56" s="23" t="inlineStr">
        <is>
          <t>09.04.2026</t>
        </is>
      </c>
      <c r="B56" s="47" t="n">
        <v>426</v>
      </c>
      <c r="C56" s="47" t="n"/>
      <c r="D56" s="47">
        <f>B56-C56</f>
        <v/>
      </c>
      <c r="E56" s="47">
        <f>D56*0.5</f>
        <v/>
      </c>
      <c r="F56" s="47" t="n"/>
      <c r="G56" s="47">
        <f>D56*0.5</f>
        <v/>
      </c>
    </row>
    <row r="57">
      <c r="A57" s="28" t="n">
        <v>46138</v>
      </c>
      <c r="B57" s="47" t="n">
        <v>2350</v>
      </c>
      <c r="C57" s="47" t="n">
        <v>100</v>
      </c>
      <c r="D57" s="47">
        <f>IF(B57="","",B57-C57)</f>
        <v/>
      </c>
      <c r="E57" s="47">
        <f>IF(D57="","",D57*0.25)</f>
        <v/>
      </c>
      <c r="F57" s="47">
        <f>D57*0.25</f>
        <v/>
      </c>
      <c r="G57" s="47">
        <f>IF(D57="","",D57*0.5)</f>
        <v/>
      </c>
    </row>
    <row r="58">
      <c r="A58" s="23" t="n"/>
      <c r="B58" s="47" t="n">
        <v>0</v>
      </c>
      <c r="C58" s="47" t="n"/>
      <c r="D58" s="47">
        <f>IF(B58="","",B58-C58)</f>
        <v/>
      </c>
      <c r="E58" s="47">
        <f>IF(D58="","",D58*0.25)</f>
        <v/>
      </c>
      <c r="F58" s="47">
        <f>D58*0.25</f>
        <v/>
      </c>
      <c r="G58" s="47">
        <f>IF(D58="","",D58*0.5)</f>
        <v/>
      </c>
    </row>
    <row r="59">
      <c r="A59" s="23" t="n"/>
      <c r="B59" s="47" t="n">
        <v>0</v>
      </c>
      <c r="C59" s="47" t="n"/>
      <c r="D59" s="47">
        <f>IF(B59="","",B59-C59)</f>
        <v/>
      </c>
      <c r="E59" s="47">
        <f>IF(D59="","",D59*0.25)</f>
        <v/>
      </c>
      <c r="F59" s="47">
        <f>D59*0.25</f>
        <v/>
      </c>
      <c r="G59" s="47">
        <f>IF(D59="","",D59*0.5)</f>
        <v/>
      </c>
    </row>
    <row r="60">
      <c r="A60" s="23" t="n"/>
      <c r="B60" s="47" t="n">
        <v>0</v>
      </c>
      <c r="C60" s="47" t="n"/>
      <c r="D60" s="47">
        <f>IF(B60="","",B60-C60)</f>
        <v/>
      </c>
      <c r="E60" s="47">
        <f>IF(D60="","",D60*0.25)</f>
        <v/>
      </c>
      <c r="F60" s="47">
        <f>D60*0.25</f>
        <v/>
      </c>
      <c r="G60" s="47">
        <f>IF(D60="","",D60*0.5)</f>
        <v/>
      </c>
    </row>
    <row r="61">
      <c r="A61" s="23" t="n"/>
      <c r="B61" s="47" t="n">
        <v>0</v>
      </c>
      <c r="C61" s="47" t="n"/>
      <c r="D61" s="47">
        <f>IF(B61="","",B61-C61)</f>
        <v/>
      </c>
      <c r="E61" s="47">
        <f>IF(D61="","",D61*0.25)</f>
        <v/>
      </c>
      <c r="F61" s="47">
        <f>D61*0.25</f>
        <v/>
      </c>
      <c r="G61" s="47">
        <f>IF(D61="","",D61*0.5)</f>
        <v/>
      </c>
    </row>
    <row r="62">
      <c r="A62" s="23" t="n"/>
      <c r="B62" s="47" t="n">
        <v>0</v>
      </c>
      <c r="C62" s="47" t="n"/>
      <c r="D62" s="47">
        <f>IF(B62="","",B62-C62)</f>
        <v/>
      </c>
      <c r="E62" s="47">
        <f>IF(D62="","",D62*0.25)</f>
        <v/>
      </c>
      <c r="F62" s="47">
        <f>D62*0.25</f>
        <v/>
      </c>
      <c r="G62" s="47">
        <f>IF(D62="","",D62*0.5)</f>
        <v/>
      </c>
    </row>
    <row r="63">
      <c r="A63" s="23" t="n"/>
      <c r="B63" s="47" t="n">
        <v>0</v>
      </c>
      <c r="C63" s="47" t="n"/>
      <c r="D63" s="47">
        <f>IF(B63="","",B63-C63)</f>
        <v/>
      </c>
      <c r="E63" s="47">
        <f>IF(D63="","",D63*0.25)</f>
        <v/>
      </c>
      <c r="F63" s="47">
        <f>D63*0.25</f>
        <v/>
      </c>
      <c r="G63" s="47">
        <f>IF(D63="","",D63*0.5)</f>
        <v/>
      </c>
    </row>
    <row r="64">
      <c r="A64" s="23" t="n"/>
      <c r="B64" s="47" t="n">
        <v>0</v>
      </c>
      <c r="C64" s="47" t="n"/>
      <c r="D64" s="47">
        <f>IF(B64="","",B64-C64)</f>
        <v/>
      </c>
      <c r="E64" s="47">
        <f>IF(D64="","",D64*0.25)</f>
        <v/>
      </c>
      <c r="F64" s="47">
        <f>D64*0.25</f>
        <v/>
      </c>
      <c r="G64" s="47">
        <f>IF(D64="","",D64*0.5)</f>
        <v/>
      </c>
    </row>
    <row r="65">
      <c r="A65" s="23" t="n"/>
      <c r="B65" s="47" t="n">
        <v>0</v>
      </c>
      <c r="C65" s="47" t="n"/>
      <c r="D65" s="47">
        <f>IF(B65="","",B65-C65)</f>
        <v/>
      </c>
      <c r="E65" s="47">
        <f>IF(D65="","",D65*0.25)</f>
        <v/>
      </c>
      <c r="F65" s="47">
        <f>D65*0.25</f>
        <v/>
      </c>
      <c r="G65" s="47">
        <f>IF(D65="","",D65*0.5)</f>
        <v/>
      </c>
    </row>
    <row r="66">
      <c r="A66" s="23" t="n"/>
      <c r="B66" s="47" t="n">
        <v>0</v>
      </c>
      <c r="C66" s="47" t="n"/>
      <c r="D66" s="47">
        <f>IF(B66="","",B66-C66)</f>
        <v/>
      </c>
      <c r="E66" s="47">
        <f>IF(D66="","",D66*0.25)</f>
        <v/>
      </c>
      <c r="F66" s="47">
        <f>D66*0.25</f>
        <v/>
      </c>
      <c r="G66" s="47">
        <f>IF(D66="","",D66*0.5)</f>
        <v/>
      </c>
    </row>
    <row r="67">
      <c r="A67" s="24" t="inlineStr">
        <is>
          <t>SUMME TR</t>
        </is>
      </c>
      <c r="B67" s="46">
        <f>SUM(B54:B66)</f>
        <v/>
      </c>
      <c r="C67" s="46">
        <f>SUM(C54:C66)</f>
        <v/>
      </c>
      <c r="D67" s="46">
        <f>SUM(D54:D66)</f>
        <v/>
      </c>
      <c r="E67" s="46">
        <f>SUM(E54:E66)</f>
        <v/>
      </c>
      <c r="F67" s="46">
        <f>SUM(F54:F66)</f>
        <v/>
      </c>
      <c r="G67" s="46">
        <f>SUM(G54:G66)</f>
        <v/>
      </c>
    </row>
  </sheetData>
  <mergeCells count="7">
    <mergeCell ref="A51:F51"/>
    <mergeCell ref="A52:F52"/>
    <mergeCell ref="A1:M1"/>
    <mergeCell ref="A23:M23"/>
    <mergeCell ref="A12:F12"/>
    <mergeCell ref="A3:F3"/>
    <mergeCell ref="H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7" customWidth="1" min="4" max="4"/>
    <col width="8" customWidth="1" min="5" max="5"/>
    <col width="10" customWidth="1" min="6" max="6"/>
    <col width="12" customWidth="1" min="7" max="7"/>
    <col width="10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  <col width="8" customWidth="1" min="14" max="14"/>
    <col width="10" customWidth="1" min="15" max="15"/>
    <col width="10" customWidth="1" min="16" max="16"/>
    <col width="8" customWidth="1" min="17" max="17"/>
    <col width="10" customWidth="1" min="18" max="18"/>
    <col width="8" customWidth="1" min="19" max="19"/>
    <col width="8" customWidth="1" min="20" max="20"/>
    <col width="10" customWidth="1" min="21" max="21"/>
    <col width="10" customWidth="1" min="22" max="22"/>
    <col width="20" customWidth="1" min="23" max="23"/>
  </cols>
  <sheetData>
    <row r="1">
      <c r="A1" s="66" t="inlineStr">
        <is>
          <t>#</t>
        </is>
      </c>
      <c r="B1" s="66" t="inlineStr">
        <is>
          <t>Datum</t>
        </is>
      </c>
      <c r="C1" s="66" t="inlineStr">
        <is>
          <t>Zeit</t>
        </is>
      </c>
      <c r="D1" s="66" t="inlineStr">
        <is>
          <t>Coin</t>
        </is>
      </c>
      <c r="E1" s="66" t="inlineStr">
        <is>
          <t>Richtung</t>
        </is>
      </c>
      <c r="F1" s="66" t="inlineStr">
        <is>
          <t>Strategie</t>
        </is>
      </c>
      <c r="G1" s="66" t="inlineStr">
        <is>
          <t>Entry</t>
        </is>
      </c>
      <c r="H1" s="66" t="inlineStr">
        <is>
          <t>TP1 (50%)</t>
        </is>
      </c>
      <c r="I1" s="66" t="inlineStr">
        <is>
          <t>TP1 Kurs</t>
        </is>
      </c>
      <c r="J1" s="66" t="inlineStr">
        <is>
          <t>SL</t>
        </is>
      </c>
      <c r="K1" s="66" t="inlineStr">
        <is>
          <t>SL Kurs</t>
        </is>
      </c>
      <c r="L1" s="66" t="inlineStr">
        <is>
          <t>Rest Exit</t>
        </is>
      </c>
      <c r="M1" s="66" t="inlineStr">
        <is>
          <t>Rest Kurs</t>
        </is>
      </c>
      <c r="N1" s="66" t="inlineStr">
        <is>
          <t>ROI %</t>
        </is>
      </c>
      <c r="O1" s="66" t="inlineStr">
        <is>
          <t>PNL USDT</t>
        </is>
      </c>
      <c r="P1" s="66" t="inlineStr">
        <is>
          <t>Net PNL</t>
        </is>
      </c>
      <c r="Q1" s="66" t="inlineStr">
        <is>
          <t>Dauer</t>
        </is>
      </c>
      <c r="R1" s="66" t="inlineStr">
        <is>
          <t>Status</t>
        </is>
      </c>
      <c r="S1" s="66" t="inlineStr">
        <is>
          <t>EE Main</t>
        </is>
      </c>
      <c r="T1" s="66" t="inlineStr">
        <is>
          <t>EE Signal</t>
        </is>
      </c>
      <c r="U1" s="66" t="inlineStr">
        <is>
          <t>Steilheit %</t>
        </is>
      </c>
      <c r="V1" s="66" t="inlineStr">
        <is>
          <t>Golden Wick</t>
        </is>
      </c>
      <c r="W1" s="66" t="inlineStr">
        <is>
          <t>Notiz</t>
        </is>
      </c>
    </row>
    <row r="2">
      <c r="A2" t="n">
        <v>1</v>
      </c>
      <c r="B2" t="inlineStr">
        <is>
          <t>2026-05-04</t>
        </is>
      </c>
      <c r="C2" t="inlineStr">
        <is>
          <t>10:00</t>
        </is>
      </c>
      <c r="D2" t="inlineStr">
        <is>
          <t>BTC</t>
        </is>
      </c>
      <c r="E2" t="inlineStr">
        <is>
          <t>LONG</t>
        </is>
      </c>
      <c r="F2" t="inlineStr">
        <is>
          <t>ER1</t>
        </is>
      </c>
      <c r="G2" t="n">
        <v>76500</v>
      </c>
      <c r="H2" t="inlineStr">
        <is>
          <t>+1.0%</t>
        </is>
      </c>
      <c r="I2" t="n">
        <v>77265</v>
      </c>
      <c r="J2" t="inlineStr">
        <is>
          <t>-1.2%</t>
        </is>
      </c>
      <c r="K2" t="n">
        <v>75582</v>
      </c>
      <c r="L2" t="inlineStr">
        <is>
          <t>Trailing</t>
        </is>
      </c>
      <c r="M2" t="n">
        <v>77800</v>
      </c>
      <c r="N2" t="n">
        <v>1.7</v>
      </c>
      <c r="O2" t="n">
        <v>1.7</v>
      </c>
      <c r="P2" t="n">
        <v>1.54</v>
      </c>
      <c r="Q2" t="inlineStr">
        <is>
          <t>2.5h</t>
        </is>
      </c>
      <c r="R2" t="inlineStr">
        <is>
          <t>TESTNET</t>
        </is>
      </c>
      <c r="S2" t="n">
        <v>3.42</v>
      </c>
      <c r="T2" t="n">
        <v>2.15</v>
      </c>
      <c r="U2" t="n">
        <v>1.8</v>
      </c>
      <c r="V2" t="inlineStr">
        <is>
          <t>Nein</t>
        </is>
      </c>
      <c r="W2" t="inlineStr">
        <is>
          <t>Erster Testnet-Trade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2026-04-12T11:37:55Z</dcterms:created>
  <dcterms:modified xmlns:dcterms="http://purl.org/dc/terms/" xmlns:xsi="http://www.w3.org/2001/XMLSchema-instance" xsi:type="dcterms:W3CDTF">2026-05-04T22:21:44Z</dcterms:modified>
  <cp:lastModifiedBy>Christoph Kollin</cp:lastModifiedBy>
</cp:coreProperties>
</file>